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nbo\Downloads\"/>
    </mc:Choice>
  </mc:AlternateContent>
  <xr:revisionPtr revIDLastSave="0" documentId="13_ncr:1_{3F01EFF7-9E97-4144-B71D-9FD149D18A7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ADME" sheetId="1" r:id="rId1"/>
    <sheet name="Raw ratings" sheetId="2" r:id="rId2"/>
    <sheet name="A_Reliability(kappa)" sheetId="3" r:id="rId3"/>
    <sheet name="B_NMF_vs_LDA(MW)" sheetId="4" r:id="rId4"/>
    <sheet name="C_Domain_concordance" sheetId="5" r:id="rId5"/>
    <sheet name="T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1" i="4" l="1"/>
  <c r="E61" i="4"/>
  <c r="D61" i="4"/>
  <c r="C61" i="4"/>
  <c r="A61" i="4"/>
  <c r="F60" i="4"/>
  <c r="E60" i="4"/>
  <c r="D60" i="4"/>
  <c r="C60" i="4"/>
  <c r="A60" i="4"/>
  <c r="F59" i="4"/>
  <c r="E59" i="4"/>
  <c r="D59" i="4"/>
  <c r="C59" i="4"/>
  <c r="A59" i="4"/>
  <c r="F58" i="4"/>
  <c r="E58" i="4"/>
  <c r="D58" i="4"/>
  <c r="C58" i="4"/>
  <c r="A58" i="4"/>
  <c r="F57" i="4"/>
  <c r="E57" i="4"/>
  <c r="D57" i="4"/>
  <c r="C57" i="4"/>
  <c r="A57" i="4"/>
  <c r="F56" i="4"/>
  <c r="E56" i="4"/>
  <c r="D56" i="4"/>
  <c r="C56" i="4"/>
  <c r="A56" i="4"/>
  <c r="F55" i="4"/>
  <c r="E55" i="4"/>
  <c r="D55" i="4"/>
  <c r="C55" i="4"/>
  <c r="A55" i="4"/>
  <c r="F54" i="4"/>
  <c r="E54" i="4"/>
  <c r="D54" i="4"/>
  <c r="C54" i="4"/>
  <c r="A54" i="4"/>
  <c r="F53" i="4"/>
  <c r="E53" i="4"/>
  <c r="D53" i="4"/>
  <c r="C53" i="4"/>
  <c r="A53" i="4"/>
  <c r="F52" i="4"/>
  <c r="E52" i="4"/>
  <c r="D52" i="4"/>
  <c r="C52" i="4"/>
  <c r="A52" i="4"/>
  <c r="F51" i="4"/>
  <c r="C51" i="4"/>
  <c r="A51" i="4"/>
  <c r="C50" i="4"/>
  <c r="A50" i="4"/>
  <c r="C49" i="4"/>
  <c r="A49" i="4"/>
  <c r="C48" i="4"/>
  <c r="A48" i="4"/>
  <c r="C47" i="4"/>
  <c r="A47" i="4"/>
  <c r="C46" i="4"/>
  <c r="A46" i="4"/>
  <c r="C45" i="4"/>
  <c r="A45" i="4"/>
  <c r="C44" i="4"/>
  <c r="A44" i="4"/>
  <c r="C43" i="4"/>
  <c r="A43" i="4"/>
  <c r="C42" i="4"/>
  <c r="A42" i="4"/>
  <c r="C41" i="4"/>
  <c r="A41" i="4"/>
  <c r="C40" i="4"/>
  <c r="A40" i="4"/>
  <c r="F39" i="4"/>
  <c r="E39" i="4"/>
  <c r="D39" i="4"/>
  <c r="C39" i="4"/>
  <c r="A39" i="4"/>
  <c r="F38" i="4"/>
  <c r="E38" i="4"/>
  <c r="D38" i="4"/>
  <c r="C38" i="4"/>
  <c r="A38" i="4"/>
  <c r="F37" i="4"/>
  <c r="E37" i="4"/>
  <c r="D37" i="4"/>
  <c r="C37" i="4"/>
  <c r="A37" i="4"/>
  <c r="F36" i="4"/>
  <c r="E36" i="4"/>
  <c r="D36" i="4"/>
  <c r="C36" i="4"/>
  <c r="A36" i="4"/>
  <c r="F35" i="4"/>
  <c r="E35" i="4"/>
  <c r="D35" i="4"/>
  <c r="C35" i="4"/>
  <c r="A35" i="4"/>
  <c r="F34" i="4"/>
  <c r="E34" i="4"/>
  <c r="D34" i="4"/>
  <c r="C34" i="4"/>
  <c r="A34" i="4"/>
  <c r="F33" i="4"/>
  <c r="E33" i="4"/>
  <c r="D33" i="4"/>
  <c r="C33" i="4"/>
  <c r="A33" i="4"/>
  <c r="F32" i="4"/>
  <c r="E32" i="4"/>
  <c r="D32" i="4"/>
  <c r="C32" i="4"/>
  <c r="A32" i="4"/>
  <c r="F31" i="4"/>
  <c r="E31" i="4"/>
  <c r="D31" i="4"/>
  <c r="C31" i="4"/>
  <c r="A31" i="4"/>
  <c r="F30" i="4"/>
  <c r="E30" i="4"/>
  <c r="D30" i="4"/>
  <c r="C30" i="4"/>
  <c r="A30" i="4"/>
  <c r="F29" i="4"/>
  <c r="E29" i="4"/>
  <c r="D29" i="4"/>
  <c r="C29" i="4"/>
  <c r="A29" i="4"/>
  <c r="F28" i="4"/>
  <c r="E28" i="4"/>
  <c r="D28" i="4"/>
  <c r="C28" i="4"/>
  <c r="A28" i="4"/>
  <c r="F27" i="4"/>
  <c r="E27" i="4"/>
  <c r="D27" i="4"/>
  <c r="C27" i="4"/>
  <c r="A27" i="4"/>
  <c r="F26" i="4"/>
  <c r="E26" i="4"/>
  <c r="D26" i="4"/>
  <c r="C26" i="4"/>
  <c r="A26" i="4"/>
  <c r="F25" i="4"/>
  <c r="E25" i="4"/>
  <c r="D25" i="4"/>
  <c r="C25" i="4"/>
  <c r="A25" i="4"/>
  <c r="F24" i="4"/>
  <c r="E24" i="4"/>
  <c r="D24" i="4"/>
  <c r="C24" i="4"/>
  <c r="A24" i="4"/>
  <c r="F23" i="4"/>
  <c r="E23" i="4"/>
  <c r="D23" i="4"/>
  <c r="C23" i="4"/>
  <c r="A23" i="4"/>
  <c r="F22" i="4"/>
  <c r="E22" i="4"/>
  <c r="D22" i="4"/>
  <c r="C22" i="4"/>
  <c r="A22" i="4"/>
  <c r="F21" i="4"/>
  <c r="E21" i="4"/>
  <c r="D21" i="4"/>
  <c r="C21" i="4"/>
  <c r="A21" i="4"/>
  <c r="F20" i="4"/>
  <c r="E20" i="4"/>
  <c r="D20" i="4"/>
  <c r="C20" i="4"/>
  <c r="A20" i="4"/>
  <c r="F19" i="4"/>
  <c r="E19" i="4"/>
  <c r="D19" i="4"/>
  <c r="C19" i="4"/>
  <c r="A19" i="4"/>
  <c r="C18" i="4"/>
  <c r="A18" i="4"/>
  <c r="C17" i="4"/>
  <c r="A17" i="4"/>
  <c r="C16" i="4"/>
  <c r="A16" i="4"/>
  <c r="C15" i="4"/>
  <c r="A15" i="4"/>
  <c r="C14" i="4"/>
  <c r="A14" i="4"/>
  <c r="C13" i="4"/>
  <c r="A13" i="4"/>
  <c r="C12" i="4"/>
  <c r="A12" i="4"/>
  <c r="C11" i="4"/>
  <c r="A11" i="4"/>
  <c r="F10" i="4"/>
  <c r="E10" i="4"/>
  <c r="D10" i="4"/>
  <c r="C10" i="4"/>
  <c r="A10" i="4"/>
  <c r="F9" i="4"/>
  <c r="E9" i="4"/>
  <c r="D9" i="4"/>
  <c r="C9" i="4"/>
  <c r="A9" i="4"/>
  <c r="F8" i="4"/>
  <c r="E8" i="4"/>
  <c r="D8" i="4"/>
  <c r="C8" i="4"/>
  <c r="A8" i="4"/>
  <c r="F7" i="4"/>
  <c r="E7" i="4"/>
  <c r="D7" i="4"/>
  <c r="C7" i="4"/>
  <c r="A7" i="4"/>
  <c r="F6" i="4"/>
  <c r="E6" i="4"/>
  <c r="D6" i="4"/>
  <c r="C6" i="4"/>
  <c r="A6" i="4"/>
  <c r="F5" i="4"/>
  <c r="E5" i="4"/>
  <c r="D5" i="4"/>
  <c r="C5" i="4"/>
  <c r="A5" i="4"/>
  <c r="F4" i="4"/>
  <c r="E4" i="4"/>
  <c r="D4" i="4"/>
  <c r="C4" i="4"/>
  <c r="A4" i="4"/>
  <c r="F3" i="4"/>
  <c r="E3" i="4"/>
  <c r="D3" i="4"/>
  <c r="C3" i="4"/>
  <c r="A3" i="4"/>
  <c r="F2" i="4"/>
  <c r="E2" i="4"/>
  <c r="D2" i="4"/>
  <c r="C2" i="4"/>
  <c r="A2" i="4"/>
  <c r="D43" i="3"/>
  <c r="C43" i="3"/>
  <c r="B43" i="3"/>
  <c r="E43" i="3" s="1"/>
  <c r="D42" i="3"/>
  <c r="C42" i="3"/>
  <c r="B42" i="3"/>
  <c r="E42" i="3" s="1"/>
  <c r="D41" i="3"/>
  <c r="D44" i="3" s="1"/>
  <c r="C41" i="3"/>
  <c r="C44" i="3" s="1"/>
  <c r="B41" i="3"/>
  <c r="D31" i="3"/>
  <c r="C31" i="3"/>
  <c r="B31" i="3"/>
  <c r="E31" i="3" s="1"/>
  <c r="D30" i="3"/>
  <c r="C30" i="3"/>
  <c r="B30" i="3"/>
  <c r="E30" i="3" s="1"/>
  <c r="D29" i="3"/>
  <c r="D32" i="3" s="1"/>
  <c r="C29" i="3"/>
  <c r="C32" i="3" s="1"/>
  <c r="B29" i="3"/>
  <c r="F19" i="3"/>
  <c r="E19" i="3"/>
  <c r="D19" i="3"/>
  <c r="C19" i="3"/>
  <c r="B19" i="3"/>
  <c r="G19" i="3" s="1"/>
  <c r="F18" i="3"/>
  <c r="E18" i="3"/>
  <c r="D18" i="3"/>
  <c r="C18" i="3"/>
  <c r="B18" i="3"/>
  <c r="F17" i="3"/>
  <c r="F20" i="3" s="1"/>
  <c r="E17" i="3"/>
  <c r="E20" i="3" s="1"/>
  <c r="D17" i="3"/>
  <c r="C17" i="3"/>
  <c r="B17" i="3"/>
  <c r="F16" i="3"/>
  <c r="E16" i="3"/>
  <c r="D16" i="3"/>
  <c r="C16" i="3"/>
  <c r="B16" i="3"/>
  <c r="G16" i="3" s="1"/>
  <c r="F15" i="3"/>
  <c r="E15" i="3"/>
  <c r="D15" i="3"/>
  <c r="C15" i="3"/>
  <c r="B15" i="3"/>
  <c r="G15" i="3" s="1"/>
  <c r="D5" i="3"/>
  <c r="C5" i="3"/>
  <c r="B5" i="3"/>
  <c r="E5" i="3" s="1"/>
  <c r="D4" i="3"/>
  <c r="C4" i="3"/>
  <c r="B4" i="3"/>
  <c r="E4" i="3" s="1"/>
  <c r="D3" i="3"/>
  <c r="D6" i="3" s="1"/>
  <c r="C3" i="3"/>
  <c r="C6" i="3" s="1"/>
  <c r="B3" i="3"/>
  <c r="V31" i="2"/>
  <c r="S31" i="2"/>
  <c r="R31" i="2"/>
  <c r="Q31" i="2"/>
  <c r="P31" i="2"/>
  <c r="O31" i="2"/>
  <c r="N31" i="2"/>
  <c r="E31" i="2"/>
  <c r="V30" i="2"/>
  <c r="S30" i="2"/>
  <c r="R30" i="2"/>
  <c r="Q30" i="2"/>
  <c r="P30" i="2"/>
  <c r="O30" i="2"/>
  <c r="N30" i="2"/>
  <c r="E30" i="2"/>
  <c r="V29" i="2"/>
  <c r="S29" i="2"/>
  <c r="R29" i="2"/>
  <c r="Q29" i="2"/>
  <c r="P29" i="2"/>
  <c r="O29" i="2"/>
  <c r="N29" i="2"/>
  <c r="E29" i="2"/>
  <c r="V28" i="2"/>
  <c r="S28" i="2"/>
  <c r="R28" i="2"/>
  <c r="Q28" i="2"/>
  <c r="P28" i="2"/>
  <c r="O28" i="2"/>
  <c r="N28" i="2"/>
  <c r="E28" i="2"/>
  <c r="V27" i="2"/>
  <c r="S27" i="2"/>
  <c r="R27" i="2"/>
  <c r="Q27" i="2"/>
  <c r="P27" i="2"/>
  <c r="O27" i="2"/>
  <c r="N27" i="2"/>
  <c r="E27" i="2"/>
  <c r="V26" i="2"/>
  <c r="S26" i="2"/>
  <c r="R26" i="2"/>
  <c r="Q26" i="2"/>
  <c r="P26" i="2"/>
  <c r="O26" i="2"/>
  <c r="N26" i="2"/>
  <c r="E26" i="2"/>
  <c r="V25" i="2"/>
  <c r="S25" i="2"/>
  <c r="R25" i="2"/>
  <c r="Q25" i="2"/>
  <c r="P25" i="2"/>
  <c r="O25" i="2"/>
  <c r="N25" i="2"/>
  <c r="E25" i="2"/>
  <c r="V24" i="2"/>
  <c r="S24" i="2"/>
  <c r="R24" i="2"/>
  <c r="Q24" i="2"/>
  <c r="P24" i="2"/>
  <c r="O24" i="2"/>
  <c r="N24" i="2"/>
  <c r="E24" i="2"/>
  <c r="V23" i="2"/>
  <c r="S23" i="2"/>
  <c r="R23" i="2"/>
  <c r="Q23" i="2"/>
  <c r="P23" i="2"/>
  <c r="O23" i="2"/>
  <c r="N23" i="2"/>
  <c r="E23" i="2"/>
  <c r="V22" i="2"/>
  <c r="S22" i="2"/>
  <c r="R22" i="2"/>
  <c r="Q22" i="2"/>
  <c r="P22" i="2"/>
  <c r="O22" i="2"/>
  <c r="N22" i="2"/>
  <c r="E22" i="2"/>
  <c r="V21" i="2"/>
  <c r="S21" i="2"/>
  <c r="R21" i="2"/>
  <c r="E51" i="4" s="1"/>
  <c r="Q21" i="2"/>
  <c r="D51" i="4" s="1"/>
  <c r="P21" i="2"/>
  <c r="O21" i="2"/>
  <c r="N21" i="2"/>
  <c r="E21" i="2"/>
  <c r="V20" i="2"/>
  <c r="S20" i="2"/>
  <c r="F50" i="4" s="1"/>
  <c r="R20" i="2"/>
  <c r="E50" i="4" s="1"/>
  <c r="Q20" i="2"/>
  <c r="D50" i="4" s="1"/>
  <c r="P20" i="2"/>
  <c r="O20" i="2"/>
  <c r="N20" i="2"/>
  <c r="E20" i="2"/>
  <c r="V19" i="2"/>
  <c r="S19" i="2"/>
  <c r="F49" i="4" s="1"/>
  <c r="R19" i="2"/>
  <c r="E49" i="4" s="1"/>
  <c r="Q19" i="2"/>
  <c r="D49" i="4" s="1"/>
  <c r="P19" i="2"/>
  <c r="O19" i="2"/>
  <c r="N19" i="2"/>
  <c r="E19" i="2"/>
  <c r="V18" i="2"/>
  <c r="S18" i="2"/>
  <c r="F48" i="4" s="1"/>
  <c r="R18" i="2"/>
  <c r="E48" i="4" s="1"/>
  <c r="Q18" i="2"/>
  <c r="D48" i="4" s="1"/>
  <c r="P18" i="2"/>
  <c r="F18" i="4" s="1"/>
  <c r="O18" i="2"/>
  <c r="E18" i="4" s="1"/>
  <c r="N18" i="2"/>
  <c r="D18" i="4" s="1"/>
  <c r="E18" i="2"/>
  <c r="V17" i="2"/>
  <c r="S17" i="2"/>
  <c r="F47" i="4" s="1"/>
  <c r="R17" i="2"/>
  <c r="E47" i="4" s="1"/>
  <c r="Q17" i="2"/>
  <c r="D47" i="4" s="1"/>
  <c r="P17" i="2"/>
  <c r="F17" i="4" s="1"/>
  <c r="O17" i="2"/>
  <c r="E17" i="4" s="1"/>
  <c r="N17" i="2"/>
  <c r="D17" i="4" s="1"/>
  <c r="E17" i="2"/>
  <c r="V16" i="2"/>
  <c r="S16" i="2"/>
  <c r="F46" i="4" s="1"/>
  <c r="R16" i="2"/>
  <c r="E46" i="4" s="1"/>
  <c r="Q16" i="2"/>
  <c r="D46" i="4" s="1"/>
  <c r="P16" i="2"/>
  <c r="F16" i="4" s="1"/>
  <c r="O16" i="2"/>
  <c r="E16" i="4" s="1"/>
  <c r="N16" i="2"/>
  <c r="D16" i="4" s="1"/>
  <c r="E16" i="2"/>
  <c r="V15" i="2"/>
  <c r="S15" i="2"/>
  <c r="F45" i="4" s="1"/>
  <c r="R15" i="2"/>
  <c r="E45" i="4" s="1"/>
  <c r="Q15" i="2"/>
  <c r="D45" i="4" s="1"/>
  <c r="P15" i="2"/>
  <c r="F15" i="4" s="1"/>
  <c r="O15" i="2"/>
  <c r="E15" i="4" s="1"/>
  <c r="N15" i="2"/>
  <c r="D15" i="4" s="1"/>
  <c r="E15" i="2"/>
  <c r="V14" i="2"/>
  <c r="S14" i="2"/>
  <c r="F44" i="4" s="1"/>
  <c r="R14" i="2"/>
  <c r="E44" i="4" s="1"/>
  <c r="Q14" i="2"/>
  <c r="D44" i="4" s="1"/>
  <c r="P14" i="2"/>
  <c r="F14" i="4" s="1"/>
  <c r="O14" i="2"/>
  <c r="E14" i="4" s="1"/>
  <c r="N14" i="2"/>
  <c r="D14" i="4" s="1"/>
  <c r="E14" i="2"/>
  <c r="V13" i="2"/>
  <c r="S13" i="2"/>
  <c r="F43" i="4" s="1"/>
  <c r="R13" i="2"/>
  <c r="E43" i="4" s="1"/>
  <c r="Q13" i="2"/>
  <c r="D43" i="4" s="1"/>
  <c r="P13" i="2"/>
  <c r="F13" i="4" s="1"/>
  <c r="O13" i="2"/>
  <c r="E13" i="4" s="1"/>
  <c r="N13" i="2"/>
  <c r="D13" i="4" s="1"/>
  <c r="E13" i="2"/>
  <c r="V12" i="2"/>
  <c r="S12" i="2"/>
  <c r="F42" i="4" s="1"/>
  <c r="R12" i="2"/>
  <c r="E42" i="4" s="1"/>
  <c r="Q12" i="2"/>
  <c r="D42" i="4" s="1"/>
  <c r="P12" i="2"/>
  <c r="F12" i="4" s="1"/>
  <c r="O12" i="2"/>
  <c r="E12" i="4" s="1"/>
  <c r="N12" i="2"/>
  <c r="D12" i="4" s="1"/>
  <c r="E12" i="2"/>
  <c r="V11" i="2"/>
  <c r="S11" i="2"/>
  <c r="F41" i="4" s="1"/>
  <c r="R11" i="2"/>
  <c r="E41" i="4" s="1"/>
  <c r="Q11" i="2"/>
  <c r="D41" i="4" s="1"/>
  <c r="P11" i="2"/>
  <c r="F11" i="4" s="1"/>
  <c r="I11" i="4" s="1"/>
  <c r="O11" i="2"/>
  <c r="E11" i="4" s="1"/>
  <c r="H11" i="4" s="1"/>
  <c r="N11" i="2"/>
  <c r="D11" i="4" s="1"/>
  <c r="E11" i="2"/>
  <c r="V10" i="2"/>
  <c r="U10" i="2"/>
  <c r="T10" i="2"/>
  <c r="S10" i="2"/>
  <c r="F40" i="4" s="1"/>
  <c r="I40" i="4" s="1"/>
  <c r="R10" i="2"/>
  <c r="E40" i="4" s="1"/>
  <c r="H40" i="4" s="1"/>
  <c r="Q10" i="2"/>
  <c r="D40" i="4" s="1"/>
  <c r="G40" i="4" s="1"/>
  <c r="P10" i="2"/>
  <c r="O10" i="2"/>
  <c r="N10" i="2"/>
  <c r="E10" i="2"/>
  <c r="V9" i="2"/>
  <c r="S9" i="2"/>
  <c r="R9" i="2"/>
  <c r="Q9" i="2"/>
  <c r="P9" i="2"/>
  <c r="O9" i="2"/>
  <c r="N9" i="2"/>
  <c r="E9" i="2"/>
  <c r="V8" i="2"/>
  <c r="S8" i="2"/>
  <c r="R8" i="2"/>
  <c r="Q8" i="2"/>
  <c r="P8" i="2"/>
  <c r="O8" i="2"/>
  <c r="N8" i="2"/>
  <c r="E8" i="2"/>
  <c r="V7" i="2"/>
  <c r="S7" i="2"/>
  <c r="R7" i="2"/>
  <c r="Q7" i="2"/>
  <c r="P7" i="2"/>
  <c r="O7" i="2"/>
  <c r="N7" i="2"/>
  <c r="E7" i="2"/>
  <c r="V6" i="2"/>
  <c r="S6" i="2"/>
  <c r="R6" i="2"/>
  <c r="Q6" i="2"/>
  <c r="P6" i="2"/>
  <c r="O6" i="2"/>
  <c r="N6" i="2"/>
  <c r="E6" i="2"/>
  <c r="V5" i="2"/>
  <c r="S5" i="2"/>
  <c r="R5" i="2"/>
  <c r="Q5" i="2"/>
  <c r="P5" i="2"/>
  <c r="O5" i="2"/>
  <c r="N5" i="2"/>
  <c r="E5" i="2"/>
  <c r="V4" i="2"/>
  <c r="S4" i="2"/>
  <c r="R4" i="2"/>
  <c r="Q4" i="2"/>
  <c r="P4" i="2"/>
  <c r="O4" i="2"/>
  <c r="N4" i="2"/>
  <c r="E4" i="2"/>
  <c r="V3" i="2"/>
  <c r="S3" i="2"/>
  <c r="R3" i="2"/>
  <c r="Q3" i="2"/>
  <c r="P3" i="2"/>
  <c r="O3" i="2"/>
  <c r="N3" i="2"/>
  <c r="E3" i="2"/>
  <c r="V2" i="2"/>
  <c r="B43" i="5" s="1"/>
  <c r="B22" i="6" s="1"/>
  <c r="S2" i="2"/>
  <c r="R2" i="2"/>
  <c r="Q2" i="2"/>
  <c r="P2" i="2"/>
  <c r="O2" i="2"/>
  <c r="N2" i="2"/>
  <c r="E2" i="2"/>
  <c r="N10" i="4" l="1"/>
  <c r="I2" i="4"/>
  <c r="N8" i="4"/>
  <c r="N9" i="4"/>
  <c r="M8" i="4"/>
  <c r="M9" i="4"/>
  <c r="M10" i="4"/>
  <c r="H2" i="4"/>
  <c r="G2" i="4"/>
  <c r="L9" i="4"/>
  <c r="L10" i="4"/>
  <c r="L8" i="4"/>
  <c r="L11" i="4" s="1"/>
  <c r="L16" i="4"/>
  <c r="C13" i="6" s="1"/>
  <c r="M16" i="4"/>
  <c r="C14" i="6" s="1"/>
  <c r="N16" i="4"/>
  <c r="C15" i="6" s="1"/>
  <c r="L3" i="4"/>
  <c r="N2" i="4"/>
  <c r="M2" i="4"/>
  <c r="L2" i="4"/>
  <c r="L15" i="4"/>
  <c r="B13" i="6" s="1"/>
  <c r="M15" i="4"/>
  <c r="B14" i="6" s="1"/>
  <c r="N15" i="4"/>
  <c r="B15" i="6" s="1"/>
  <c r="N3" i="4"/>
  <c r="M3" i="4"/>
  <c r="B44" i="3"/>
  <c r="E44" i="3" s="1"/>
  <c r="B46" i="3" s="1"/>
  <c r="E41" i="3"/>
  <c r="B47" i="3" s="1"/>
  <c r="E29" i="3"/>
  <c r="B32" i="3"/>
  <c r="E32" i="3" s="1"/>
  <c r="B34" i="3" s="1"/>
  <c r="B20" i="3"/>
  <c r="G18" i="3"/>
  <c r="D20" i="3"/>
  <c r="C20" i="3"/>
  <c r="G17" i="3"/>
  <c r="E3" i="3"/>
  <c r="B6" i="3"/>
  <c r="E6" i="3" s="1"/>
  <c r="B8" i="3" s="1"/>
  <c r="U31" i="2"/>
  <c r="T31" i="2"/>
  <c r="U30" i="2"/>
  <c r="T30" i="2"/>
  <c r="U29" i="2"/>
  <c r="T29" i="2"/>
  <c r="T28" i="2"/>
  <c r="U28" i="2"/>
  <c r="U27" i="2"/>
  <c r="T27" i="2"/>
  <c r="T26" i="2"/>
  <c r="U26" i="2"/>
  <c r="T25" i="2"/>
  <c r="U25" i="2"/>
  <c r="T24" i="2"/>
  <c r="U24" i="2"/>
  <c r="T23" i="2"/>
  <c r="U23" i="2"/>
  <c r="U22" i="2"/>
  <c r="T22" i="2"/>
  <c r="U21" i="2"/>
  <c r="T21" i="2"/>
  <c r="U20" i="2"/>
  <c r="T20" i="2"/>
  <c r="U19" i="2"/>
  <c r="T19" i="2"/>
  <c r="U18" i="2"/>
  <c r="T18" i="2"/>
  <c r="T17" i="2"/>
  <c r="U17" i="2"/>
  <c r="U16" i="2"/>
  <c r="T16" i="2"/>
  <c r="T15" i="2"/>
  <c r="U15" i="2"/>
  <c r="U14" i="2"/>
  <c r="T14" i="2"/>
  <c r="U13" i="2"/>
  <c r="T13" i="2"/>
  <c r="T12" i="2"/>
  <c r="U12" i="2"/>
  <c r="C3" i="5"/>
  <c r="C8" i="5" s="1"/>
  <c r="B3" i="5"/>
  <c r="C7" i="5"/>
  <c r="U11" i="2"/>
  <c r="T11" i="2"/>
  <c r="F3" i="5"/>
  <c r="F7" i="5"/>
  <c r="D7" i="5"/>
  <c r="B7" i="5"/>
  <c r="F6" i="5"/>
  <c r="E6" i="5"/>
  <c r="D6" i="5"/>
  <c r="C6" i="5"/>
  <c r="B6" i="5"/>
  <c r="G6" i="5" s="1"/>
  <c r="F5" i="5"/>
  <c r="E5" i="5"/>
  <c r="D5" i="5"/>
  <c r="C5" i="5"/>
  <c r="B5" i="5"/>
  <c r="G5" i="5" s="1"/>
  <c r="F4" i="5"/>
  <c r="E4" i="5"/>
  <c r="D4" i="5"/>
  <c r="C4" i="5"/>
  <c r="B4" i="5"/>
  <c r="G4" i="5" s="1"/>
  <c r="E3" i="5"/>
  <c r="D3" i="5"/>
  <c r="D8" i="5" s="1"/>
  <c r="E7" i="5"/>
  <c r="T9" i="2"/>
  <c r="U9" i="2"/>
  <c r="U8" i="2"/>
  <c r="T8" i="2"/>
  <c r="T7" i="2"/>
  <c r="U7" i="2"/>
  <c r="U6" i="2"/>
  <c r="T6" i="2"/>
  <c r="T5" i="2"/>
  <c r="U5" i="2"/>
  <c r="T4" i="2"/>
  <c r="U4" i="2"/>
  <c r="T3" i="2"/>
  <c r="U3" i="2"/>
  <c r="T2" i="2"/>
  <c r="C27" i="5"/>
  <c r="U2" i="2"/>
  <c r="D28" i="5"/>
  <c r="D26" i="5"/>
  <c r="E26" i="5"/>
  <c r="F26" i="5"/>
  <c r="B27" i="5"/>
  <c r="D27" i="5"/>
  <c r="B28" i="5"/>
  <c r="B25" i="5"/>
  <c r="C25" i="5"/>
  <c r="D25" i="5"/>
  <c r="E25" i="5"/>
  <c r="F25" i="5"/>
  <c r="B26" i="5"/>
  <c r="C26" i="5"/>
  <c r="E27" i="5"/>
  <c r="B24" i="5"/>
  <c r="C24" i="5"/>
  <c r="D24" i="5"/>
  <c r="D29" i="5" s="1"/>
  <c r="E24" i="5"/>
  <c r="F24" i="5"/>
  <c r="E28" i="5"/>
  <c r="F27" i="5"/>
  <c r="F28" i="5"/>
  <c r="C28" i="5"/>
  <c r="H61" i="4"/>
  <c r="G61" i="4"/>
  <c r="H60" i="4"/>
  <c r="I59" i="4"/>
  <c r="G59" i="4"/>
  <c r="H58" i="4"/>
  <c r="I57" i="4"/>
  <c r="G57" i="4"/>
  <c r="H56" i="4"/>
  <c r="I55" i="4"/>
  <c r="G55" i="4"/>
  <c r="G54" i="4"/>
  <c r="H53" i="4"/>
  <c r="I52" i="4"/>
  <c r="G52" i="4"/>
  <c r="I39" i="4"/>
  <c r="G38" i="4"/>
  <c r="I37" i="4"/>
  <c r="G37" i="4"/>
  <c r="H36" i="4"/>
  <c r="H35" i="4"/>
  <c r="G51" i="4"/>
  <c r="H50" i="4"/>
  <c r="I49" i="4"/>
  <c r="H49" i="4"/>
  <c r="I48" i="4"/>
  <c r="G48" i="4"/>
  <c r="H18" i="4"/>
  <c r="I47" i="4"/>
  <c r="G47" i="4"/>
  <c r="I17" i="4"/>
  <c r="G17" i="4"/>
  <c r="H46" i="4"/>
  <c r="G46" i="4"/>
  <c r="H16" i="4"/>
  <c r="I45" i="4"/>
  <c r="G45" i="4"/>
  <c r="I15" i="4"/>
  <c r="I44" i="4"/>
  <c r="G44" i="4"/>
  <c r="G14" i="4"/>
  <c r="G43" i="4"/>
  <c r="H13" i="4"/>
  <c r="I42" i="4"/>
  <c r="I12" i="4"/>
  <c r="H41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0" i="4"/>
  <c r="H10" i="4"/>
  <c r="G10" i="4"/>
  <c r="I9" i="4"/>
  <c r="H9" i="4"/>
  <c r="G9" i="4"/>
  <c r="I8" i="4"/>
  <c r="G8" i="4"/>
  <c r="H7" i="4"/>
  <c r="I6" i="4"/>
  <c r="G6" i="4"/>
  <c r="H5" i="4"/>
  <c r="M5" i="4" s="1"/>
  <c r="M6" i="4" s="1"/>
  <c r="I4" i="4"/>
  <c r="H12" i="4"/>
  <c r="G41" i="4"/>
  <c r="H45" i="4"/>
  <c r="G15" i="4"/>
  <c r="I14" i="4"/>
  <c r="I43" i="4"/>
  <c r="I13" i="4"/>
  <c r="G13" i="4"/>
  <c r="H42" i="4"/>
  <c r="I41" i="4"/>
  <c r="I61" i="4"/>
  <c r="I60" i="4"/>
  <c r="G60" i="4"/>
  <c r="H59" i="4"/>
  <c r="I58" i="4"/>
  <c r="G58" i="4"/>
  <c r="H57" i="4"/>
  <c r="I56" i="4"/>
  <c r="G56" i="4"/>
  <c r="H55" i="4"/>
  <c r="I54" i="4"/>
  <c r="H54" i="4"/>
  <c r="I53" i="4"/>
  <c r="G53" i="4"/>
  <c r="H52" i="4"/>
  <c r="I51" i="4"/>
  <c r="H39" i="4"/>
  <c r="G39" i="4"/>
  <c r="I38" i="4"/>
  <c r="H38" i="4"/>
  <c r="H37" i="4"/>
  <c r="I36" i="4"/>
  <c r="G36" i="4"/>
  <c r="I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8" i="4"/>
  <c r="I7" i="4"/>
  <c r="G7" i="4"/>
  <c r="H6" i="4"/>
  <c r="I5" i="4"/>
  <c r="N5" i="4" s="1"/>
  <c r="N6" i="4" s="1"/>
  <c r="G5" i="4"/>
  <c r="L5" i="4" s="1"/>
  <c r="L6" i="4" s="1"/>
  <c r="H4" i="4"/>
  <c r="G4" i="4"/>
  <c r="I3" i="4"/>
  <c r="H3" i="4"/>
  <c r="G3" i="4"/>
  <c r="H51" i="4"/>
  <c r="I50" i="4"/>
  <c r="G50" i="4"/>
  <c r="G49" i="4"/>
  <c r="H48" i="4"/>
  <c r="I18" i="4"/>
  <c r="G18" i="4"/>
  <c r="H47" i="4"/>
  <c r="H17" i="4"/>
  <c r="I46" i="4"/>
  <c r="I16" i="4"/>
  <c r="G16" i="4"/>
  <c r="H15" i="4"/>
  <c r="H44" i="4"/>
  <c r="H14" i="4"/>
  <c r="H43" i="4"/>
  <c r="G42" i="4"/>
  <c r="G12" i="4"/>
  <c r="G11" i="4"/>
  <c r="N4" i="4" l="1"/>
  <c r="N7" i="4"/>
  <c r="D15" i="6"/>
  <c r="D14" i="6"/>
  <c r="D13" i="6"/>
  <c r="M4" i="4"/>
  <c r="M7" i="4"/>
  <c r="M13" i="4" s="1"/>
  <c r="M14" i="4" s="1"/>
  <c r="E14" i="6" s="1"/>
  <c r="L4" i="4"/>
  <c r="L7" i="4"/>
  <c r="L13" i="4" s="1"/>
  <c r="L14" i="4" s="1"/>
  <c r="E13" i="6" s="1"/>
  <c r="L12" i="4"/>
  <c r="B48" i="3"/>
  <c r="C8" i="6" s="1"/>
  <c r="D8" i="6" s="1"/>
  <c r="B49" i="3"/>
  <c r="B8" i="6" s="1"/>
  <c r="B37" i="3"/>
  <c r="B7" i="6" s="1"/>
  <c r="G20" i="3"/>
  <c r="B25" i="3"/>
  <c r="B6" i="6" s="1"/>
  <c r="B11" i="3"/>
  <c r="B5" i="6" s="1"/>
  <c r="G3" i="5"/>
  <c r="B8" i="5"/>
  <c r="B11" i="5"/>
  <c r="C11" i="5"/>
  <c r="B17" i="5"/>
  <c r="B20" i="6" s="1"/>
  <c r="C14" i="5"/>
  <c r="B13" i="5"/>
  <c r="C13" i="5"/>
  <c r="B12" i="5"/>
  <c r="C12" i="5"/>
  <c r="B34" i="5"/>
  <c r="G24" i="5"/>
  <c r="E32" i="5" s="1"/>
  <c r="B29" i="5"/>
  <c r="B32" i="5"/>
  <c r="C32" i="5"/>
  <c r="B38" i="5"/>
  <c r="B21" i="6" s="1"/>
  <c r="F8" i="5"/>
  <c r="B15" i="5" s="1"/>
  <c r="G7" i="5"/>
  <c r="E13" i="5"/>
  <c r="E12" i="5"/>
  <c r="E8" i="5"/>
  <c r="B19" i="5"/>
  <c r="C20" i="6" s="1"/>
  <c r="B40" i="5"/>
  <c r="C21" i="6" s="1"/>
  <c r="B20" i="5"/>
  <c r="D20" i="6" s="1"/>
  <c r="B41" i="5"/>
  <c r="D21" i="6" s="1"/>
  <c r="G27" i="5"/>
  <c r="C35" i="5" s="1"/>
  <c r="G28" i="5"/>
  <c r="C36" i="5" s="1"/>
  <c r="G25" i="5"/>
  <c r="C33" i="5" s="1"/>
  <c r="G26" i="5"/>
  <c r="C29" i="5"/>
  <c r="B33" i="5" s="1"/>
  <c r="D33" i="5" s="1"/>
  <c r="E29" i="5"/>
  <c r="B35" i="5" s="1"/>
  <c r="D35" i="5" s="1"/>
  <c r="F29" i="5"/>
  <c r="B36" i="5" s="1"/>
  <c r="D36" i="5" s="1"/>
  <c r="N11" i="4"/>
  <c r="N12" i="4" s="1"/>
  <c r="N13" i="4" s="1"/>
  <c r="N14" i="4" s="1"/>
  <c r="E15" i="6" s="1"/>
  <c r="M11" i="4"/>
  <c r="M12" i="4" s="1"/>
  <c r="B35" i="3"/>
  <c r="B36" i="3" s="1"/>
  <c r="C7" i="6" s="1"/>
  <c r="D7" i="6" s="1"/>
  <c r="B9" i="3"/>
  <c r="B10" i="3" s="1"/>
  <c r="C5" i="6" s="1"/>
  <c r="D5" i="6" s="1"/>
  <c r="E11" i="5" l="1"/>
  <c r="G8" i="5"/>
  <c r="D11" i="5"/>
  <c r="B18" i="5" s="1"/>
  <c r="E20" i="6" s="1"/>
  <c r="G29" i="5"/>
  <c r="D32" i="5"/>
  <c r="B39" i="5" s="1"/>
  <c r="E21" i="6" s="1"/>
  <c r="D13" i="5"/>
  <c r="D12" i="5"/>
  <c r="E36" i="5"/>
  <c r="E33" i="5"/>
  <c r="E35" i="5"/>
  <c r="B22" i="3"/>
  <c r="B23" i="3"/>
  <c r="B24" i="3" s="1"/>
  <c r="C6" i="6" s="1"/>
  <c r="D6" i="6" s="1"/>
  <c r="E15" i="5"/>
  <c r="C15" i="5"/>
  <c r="D15" i="5" s="1"/>
  <c r="E14" i="5"/>
  <c r="B14" i="5"/>
  <c r="D14" i="5" s="1"/>
  <c r="E34" i="5"/>
  <c r="C34" i="5"/>
  <c r="D34" i="5" s="1"/>
</calcChain>
</file>

<file path=xl/sharedStrings.xml><?xml version="1.0" encoding="utf-8"?>
<sst xmlns="http://schemas.openxmlformats.org/spreadsheetml/2006/main" count="602" uniqueCount="155">
  <si>
    <t>Human Validation — Analysis Workbook</t>
  </si>
  <si>
    <t>All grey-tabbed computation sheets use LIVE FORMULAS; edit the blue input cells on 'Raw ratings' and every result recomputes.</t>
  </si>
  <si>
    <t>Design: 30 no-RAKE baseline topics (15 LDA + 15 NMF), each rated by a Main coder (C1) and a Secondary coder (C2)</t>
  </si>
  <si>
    <t>on four criteria — Coherence, Domain, Label, Fidelity — giving 30×2×4 = 240 judgments. Topics were blinded to model identity.</t>
  </si>
  <si>
    <t>Sheets:</t>
  </si>
  <si>
    <t xml:space="preserve">  • Raw ratings — the coders' tags per topic (BLUE = raw input), plus the topic key and ordinal encodings (formulas).</t>
  </si>
  <si>
    <t xml:space="preserve">  • Table 5 — the three panels as they appear in the paper, pulled from the sheets above.</t>
  </si>
  <si>
    <t>Encodings (ordinal 1–3): Coherence Low/Medium/High=1/2/3; Label Poor/Acceptable/Good=1/2/3; Fidelity Artifact/Mixed/Authentic=1/2/3.</t>
  </si>
  <si>
    <t>Cohen's kappa: Cohen (1960); interpretation bands: Landis &amp; Koch (1977). Macro-F1: Sokolova &amp; Lapalme (2009), averaged over labels</t>
  </si>
  <si>
    <t>present in gold or predictions (zero_division=0). Mann–Whitney U: Mann &amp; Whitney (1947), normal approximation with tie and</t>
  </si>
  <si>
    <t>continuity correction (one-sided, NMF &gt; LDA); verified to match scipy.stats.mannwhitneyu.</t>
  </si>
  <si>
    <t>TopicID</t>
  </si>
  <si>
    <t>Model</t>
  </si>
  <si>
    <t>OrigTopic</t>
  </si>
  <si>
    <t>ModelDomainRaw</t>
  </si>
  <si>
    <t>ModelDomain</t>
  </si>
  <si>
    <t>C1_Coherence</t>
  </si>
  <si>
    <t>C1_Domain</t>
  </si>
  <si>
    <t>C1_Label</t>
  </si>
  <si>
    <t>C1_Fidelity</t>
  </si>
  <si>
    <t>C2_Coherence</t>
  </si>
  <si>
    <t>C2_Domain</t>
  </si>
  <si>
    <t>C2_Label</t>
  </si>
  <si>
    <t>C2_Fidelity</t>
  </si>
  <si>
    <t>C1_Coh#</t>
  </si>
  <si>
    <t>C1_Lab#</t>
  </si>
  <si>
    <t>C1_Fid#</t>
  </si>
  <si>
    <t>C2_Coh#</t>
  </si>
  <si>
    <t>C2_Lab#</t>
  </si>
  <si>
    <t>C2_Fid#</t>
  </si>
  <si>
    <t>C1_DomCorrect</t>
  </si>
  <si>
    <t>C2_DomCorrect</t>
  </si>
  <si>
    <t>C1C2_DomAgree</t>
  </si>
  <si>
    <t>T01</t>
  </si>
  <si>
    <t>NMF</t>
  </si>
  <si>
    <t>D</t>
  </si>
  <si>
    <t>Medium</t>
  </si>
  <si>
    <t>A</t>
  </si>
  <si>
    <t>Good</t>
  </si>
  <si>
    <t>Mixed</t>
  </si>
  <si>
    <t>High</t>
  </si>
  <si>
    <t>Acceptable</t>
  </si>
  <si>
    <t>Authentic</t>
  </si>
  <si>
    <t>T02</t>
  </si>
  <si>
    <t>LDA</t>
  </si>
  <si>
    <t>?</t>
  </si>
  <si>
    <t>Low</t>
  </si>
  <si>
    <t>Inductive</t>
  </si>
  <si>
    <t>Poor</t>
  </si>
  <si>
    <t>Artifact</t>
  </si>
  <si>
    <t>T03</t>
  </si>
  <si>
    <t>B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</si>
  <si>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</si>
  <si>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</si>
  <si>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</si>
  <si>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</si>
  <si>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</si>
  <si>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</si>
  <si>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</si>
  <si>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</si>
  <si>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</si>
  <si>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</si>
  <si>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</si>
  <si>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</si>
  <si>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</si>
  <si>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</si>
  <si>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</si>
  <si>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</si>
  <si>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</si>
  <si>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</si>
  <si>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C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</si>
  <si>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</si>
  <si>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</si>
  <si>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</si>
  <si>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</si>
  <si>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</si>
  <si>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</si>
  <si>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</si>
  <si>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</si>
  <si>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</si>
  <si>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Coherence — inter-coder contingency (C1 rows × C2 columns)</t>
  </si>
  <si>
    <t>C1 \ C2</t>
  </si>
  <si>
    <t>Row total</t>
  </si>
  <si>
    <t>Col total</t>
  </si>
  <si>
    <t>Observed agreement (po)</t>
  </si>
  <si>
    <t>Expected agreement (pe)</t>
  </si>
  <si>
    <t>Cohen's kappa</t>
  </si>
  <si>
    <t>% agreement</t>
  </si>
  <si>
    <t>Domain — inter-coder contingency (C1 rows × C2 columns)</t>
  </si>
  <si>
    <t>Label — inter-coder contingency (C1 rows × C2 columns)</t>
  </si>
  <si>
    <t>Fidelity — inter-coder contingency (C1 rows × C2 columns)</t>
  </si>
  <si>
    <t>Coder</t>
  </si>
  <si>
    <t>Coh#</t>
  </si>
  <si>
    <t>Lab#</t>
  </si>
  <si>
    <t>Fid#</t>
  </si>
  <si>
    <t>RankCoh</t>
  </si>
  <si>
    <t>RankLab</t>
  </si>
  <si>
    <t>RankFid</t>
  </si>
  <si>
    <t>Mann–Whitney U (one-sided, NMF&gt;LDA)</t>
  </si>
  <si>
    <t>Coherence</t>
  </si>
  <si>
    <t>Label</t>
  </si>
  <si>
    <t>Fidelity</t>
  </si>
  <si>
    <t>C1</t>
  </si>
  <si>
    <t>n1 (LDA)</t>
  </si>
  <si>
    <t>n2 (NMF)</t>
  </si>
  <si>
    <t>n (total)</t>
  </si>
  <si>
    <t>Rank sum NMF</t>
  </si>
  <si>
    <t>U (NMF)</t>
  </si>
  <si>
    <t>mean U = n1·n2/2</t>
  </si>
  <si>
    <t>t(=1)</t>
  </si>
  <si>
    <t>t(=2)</t>
  </si>
  <si>
    <t>t(=3)</t>
  </si>
  <si>
    <t>T = Σ(t³−t)</t>
  </si>
  <si>
    <t>Variance (tie-corr.)</t>
  </si>
  <si>
    <t>z (cont.-corr.)</t>
  </si>
  <si>
    <t>p (one-sided)</t>
  </si>
  <si>
    <t>LDA mean</t>
  </si>
  <si>
    <t>NMF mean</t>
  </si>
  <si>
    <t>C2</t>
  </si>
  <si>
    <t>Main coder (C1): confusion — Gold (model) rows × Predicted (coder) columns</t>
  </si>
  <si>
    <t>Gold \ Pred</t>
  </si>
  <si>
    <t>Support</t>
  </si>
  <si>
    <t>Pred count</t>
  </si>
  <si>
    <t>Class</t>
  </si>
  <si>
    <t>Precision</t>
  </si>
  <si>
    <t>Recall</t>
  </si>
  <si>
    <t>F1</t>
  </si>
  <si>
    <t>In union</t>
  </si>
  <si>
    <t>Accuracy (overall)</t>
  </si>
  <si>
    <t>Macro-F1 (union labels)</t>
  </si>
  <si>
    <t>Accuracy — LDA topics</t>
  </si>
  <si>
    <t>Accuracy — NMF topics</t>
  </si>
  <si>
    <t>Secondary coder (C2): confusion — Gold (model) rows × Predicted (coder) columns</t>
  </si>
  <si>
    <t>C1–C2 domain agreement</t>
  </si>
  <si>
    <t>Criterion</t>
  </si>
  <si>
    <t>Band (Landis &amp; Koch)</t>
  </si>
  <si>
    <t>Domain</t>
  </si>
  <si>
    <t>U</t>
  </si>
  <si>
    <t>p</t>
  </si>
  <si>
    <t>Overall acc.</t>
  </si>
  <si>
    <t>LDA acc.</t>
  </si>
  <si>
    <t>NMF acc.</t>
  </si>
  <si>
    <t>Macro-F1</t>
  </si>
  <si>
    <t>Main coder</t>
  </si>
  <si>
    <t>Secondary coder</t>
  </si>
  <si>
    <t>All values are computed live from the 'Raw ratings' sheet via the A/B/C computation sheets.</t>
  </si>
  <si>
    <t>This workbook traces the two coders' raw Taguette ratings through to Tables 5-7 of the manuscript.</t>
  </si>
  <si>
    <t>BLUE = raw coder input / key. Black = formula.  Green = Coder 1. Red=Coder 2. Edit blue cells and all sheets recompute.</t>
  </si>
  <si>
    <t>Table 5. Inter-coder reliability (Main vs Secondary)</t>
  </si>
  <si>
    <t>Tables. Human validation results (two coders, 30 no-RAKE topics)</t>
  </si>
  <si>
    <t>Table 6. NMF vs LDA on human-rated quality (pooled; ratings 1–3; one-sided Mann–Whitney U)</t>
  </si>
  <si>
    <t>Table 7. Concordance of each coder's independent domain judgment with the model's assignment</t>
  </si>
  <si>
    <t xml:space="preserve">  • A_Reliability(kappa) — inter-coder contingency tables → percent agreement and Cohen's kappa (Panel A/Table 5).</t>
  </si>
  <si>
    <t xml:space="preserve">  • B_NMF_vs_LDA(MW) — ordinal ratings pooled by model, ranked → Mann–Whitney U and p, and group means (Panel B/Table 6).</t>
  </si>
  <si>
    <t xml:space="preserve">  • C_Domain_concordance — each coder's domain vs the model → confusion matrices, accuracy, macro-F1 (Panel C/Table 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</si>
</sst>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0.0"/>
    <numFmt numFmtId="167" formatCode="0.#"/>
    <numFmt numFmtId="168" formatCode="0.000000"/>
    <numFmt numFmtId="169" formatCode="0.0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1F4E79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3" fillId="0" borderId="1" xfId="0" applyFont="1" applyBorder="1"/>
    <xf numFmtId="0" fontId="5" fillId="0" borderId="0" xfId="0" applyFont="1"/>
    <xf numFmtId="0" fontId="8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8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5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zoomScaleNormal="100" workbookViewId="0">
      <selection activeCell="D6" sqref="D6"/>
    </sheetView>
  </sheetViews>
  <sheetFormatPr defaultColWidth="8.7109375" defaultRowHeight="15" x14ac:dyDescent="0.25"/>
  <cols>
    <col min="1" max="1" width="110" customWidth="1"/>
  </cols>
  <sheetData>
    <row r="1" spans="1:1" ht="15" customHeight="1" x14ac:dyDescent="0.25">
      <c r="A1" s="1" t="s">
        <v>0</v>
      </c>
    </row>
    <row r="2" spans="1:1" ht="15" customHeight="1" x14ac:dyDescent="0.25">
      <c r="A2" s="28" t="s">
        <v>146</v>
      </c>
    </row>
    <row r="3" spans="1:1" ht="15" customHeight="1" x14ac:dyDescent="0.25">
      <c r="A3" s="2" t="s">
        <v>1</v>
      </c>
    </row>
    <row r="4" spans="1:1" ht="15" customHeight="1" x14ac:dyDescent="0.25">
      <c r="A4" s="2"/>
    </row>
    <row r="5" spans="1:1" ht="15" customHeight="1" x14ac:dyDescent="0.25">
      <c r="A5" s="3" t="s">
        <v>2</v>
      </c>
    </row>
    <row r="6" spans="1:1" ht="15" customHeight="1" x14ac:dyDescent="0.25">
      <c r="A6" s="2" t="s">
        <v>3</v>
      </c>
    </row>
    <row r="7" spans="1:1" ht="15" customHeight="1" x14ac:dyDescent="0.25">
      <c r="A7" s="2"/>
    </row>
    <row r="8" spans="1:1" ht="15" customHeight="1" x14ac:dyDescent="0.25">
      <c r="A8" s="3" t="s">
        <v>4</v>
      </c>
    </row>
    <row r="9" spans="1:1" ht="15" customHeight="1" x14ac:dyDescent="0.25">
      <c r="A9" s="2" t="s">
        <v>5</v>
      </c>
    </row>
    <row r="10" spans="1:1" ht="15" customHeight="1" x14ac:dyDescent="0.25">
      <c r="A10" s="28" t="s">
        <v>152</v>
      </c>
    </row>
    <row r="11" spans="1:1" ht="15" customHeight="1" x14ac:dyDescent="0.25">
      <c r="A11" s="28" t="s">
        <v>153</v>
      </c>
    </row>
    <row r="12" spans="1:1" ht="15" customHeight="1" x14ac:dyDescent="0.25">
      <c r="A12" s="28" t="s">
        <v>154</v>
      </c>
    </row>
    <row r="13" spans="1:1" ht="15" customHeight="1" x14ac:dyDescent="0.25">
      <c r="A13" s="2" t="s">
        <v>6</v>
      </c>
    </row>
    <row r="14" spans="1:1" ht="15" customHeight="1" x14ac:dyDescent="0.25">
      <c r="A14" s="2"/>
    </row>
    <row r="15" spans="1:1" ht="15" customHeight="1" x14ac:dyDescent="0.25">
      <c r="A15" s="4" t="s">
        <v>7</v>
      </c>
    </row>
    <row r="16" spans="1:1" ht="15" customHeight="1" x14ac:dyDescent="0.25">
      <c r="A16" s="4" t="s">
        <v>8</v>
      </c>
    </row>
    <row r="17" spans="1:1" ht="15" customHeight="1" x14ac:dyDescent="0.25">
      <c r="A17" s="4" t="s">
        <v>9</v>
      </c>
    </row>
    <row r="18" spans="1:1" ht="15" customHeight="1" x14ac:dyDescent="0.25">
      <c r="A18" s="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15" sqref="R15"/>
    </sheetView>
  </sheetViews>
  <sheetFormatPr defaultColWidth="8.7109375" defaultRowHeight="15" x14ac:dyDescent="0.25"/>
  <cols>
    <col min="1" max="1" width="8" customWidth="1"/>
    <col min="2" max="2" width="6.5703125" bestFit="1" customWidth="1"/>
    <col min="3" max="3" width="9.85546875" bestFit="1" customWidth="1"/>
    <col min="4" max="4" width="17.85546875" bestFit="1" customWidth="1"/>
    <col min="5" max="5" width="15.28515625" customWidth="1"/>
    <col min="6" max="6" width="14.28515625" bestFit="1" customWidth="1"/>
    <col min="7" max="7" width="11.28515625" bestFit="1" customWidth="1"/>
    <col min="8" max="8" width="10.28515625" bestFit="1" customWidth="1"/>
    <col min="9" max="9" width="11" customWidth="1"/>
    <col min="10" max="10" width="14.28515625" bestFit="1" customWidth="1"/>
    <col min="11" max="11" width="11.28515625" bestFit="1" customWidth="1"/>
    <col min="12" max="12" width="10.28515625" bestFit="1" customWidth="1"/>
    <col min="13" max="13" width="11" customWidth="1"/>
    <col min="14" max="14" width="8.85546875" bestFit="1" customWidth="1"/>
    <col min="15" max="15" width="8.7109375" bestFit="1" customWidth="1"/>
    <col min="16" max="16" width="8.140625" bestFit="1" customWidth="1"/>
    <col min="17" max="17" width="8.85546875" bestFit="1" customWidth="1"/>
    <col min="18" max="18" width="8.7109375" bestFit="1" customWidth="1"/>
    <col min="19" max="19" width="8.140625" bestFit="1" customWidth="1"/>
    <col min="20" max="21" width="15.140625" bestFit="1" customWidth="1"/>
    <col min="22" max="22" width="16.28515625" bestFit="1" customWidth="1"/>
  </cols>
  <sheetData>
    <row r="1" spans="1:22" ht="23.25" customHeight="1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</row>
    <row r="2" spans="1:22" ht="15" customHeight="1" x14ac:dyDescent="0.25">
      <c r="A2" s="6" t="s">
        <v>33</v>
      </c>
      <c r="B2" s="6" t="s">
        <v>34</v>
      </c>
      <c r="C2" s="6">
        <v>4</v>
      </c>
      <c r="D2" s="6" t="s">
        <v>35</v>
      </c>
      <c r="E2" s="7" t="str">
        <f t="shared" ref="E2:E31" si="0">IF(D2="?","Inductive",D2)</f>
        <v>D</v>
      </c>
      <c r="F2" s="29" t="s">
        <v>36</v>
      </c>
      <c r="G2" s="29" t="s">
        <v>37</v>
      </c>
      <c r="H2" s="29" t="s">
        <v>38</v>
      </c>
      <c r="I2" s="29" t="s">
        <v>39</v>
      </c>
      <c r="J2" s="30" t="s">
        <v>40</v>
      </c>
      <c r="K2" s="30" t="s">
        <v>37</v>
      </c>
      <c r="L2" s="30" t="s">
        <v>41</v>
      </c>
      <c r="M2" s="30" t="s">
        <v>42</v>
      </c>
      <c r="N2" s="31">
        <f t="shared" ref="N2:N31" si="1">IF(F2="High",3,IF(F2="Medium",2,1))</f>
        <v>2</v>
      </c>
      <c r="O2" s="31">
        <f t="shared" ref="O2:O31" si="2">IF(H2="Good",3,IF(H2="Acceptable",2,1))</f>
        <v>3</v>
      </c>
      <c r="P2" s="31">
        <f t="shared" ref="P2:P31" si="3">IF(I2="Authentic",3,IF(I2="Mixed",2,1))</f>
        <v>2</v>
      </c>
      <c r="Q2" s="31">
        <f t="shared" ref="Q2:Q31" si="4">IF(J2="High",3,IF(J2="Medium",2,1))</f>
        <v>3</v>
      </c>
      <c r="R2" s="31">
        <f t="shared" ref="R2:R31" si="5">IF(L2="Good",3,IF(L2="Acceptable",2,1))</f>
        <v>2</v>
      </c>
      <c r="S2" s="31">
        <f t="shared" ref="S2:S31" si="6">IF(M2="Authentic",3,IF(M2="Mixed",2,1))</f>
        <v>3</v>
      </c>
      <c r="T2" s="31">
        <f t="shared" ref="T2:T31" si="7">IF(E2=G2,1,0)</f>
        <v>0</v>
      </c>
      <c r="U2" s="31">
        <f t="shared" ref="U2:U31" si="8">IF(E2=K2,1,0)</f>
        <v>0</v>
      </c>
      <c r="V2" s="31">
        <f t="shared" ref="V2:V31" si="9">IF(G2=K2,1,0)</f>
        <v>1</v>
      </c>
    </row>
    <row r="3" spans="1:22" ht="15" customHeight="1" x14ac:dyDescent="0.25">
      <c r="A3" s="6" t="s">
        <v>43</v>
      </c>
      <c r="B3" s="6" t="s">
        <v>44</v>
      </c>
      <c r="C3" s="6">
        <v>14</v>
      </c>
      <c r="D3" s="6" t="s">
        <v>45</v>
      </c>
      <c r="E3" s="7" t="str">
        <f t="shared" si="0"/>
        <v>Inductive</v>
      </c>
      <c r="F3" s="29" t="s">
        <v>46</v>
      </c>
      <c r="G3" s="29" t="s">
        <v>47</v>
      </c>
      <c r="H3" s="29" t="s">
        <v>48</v>
      </c>
      <c r="I3" s="29" t="s">
        <v>49</v>
      </c>
      <c r="J3" s="30" t="s">
        <v>46</v>
      </c>
      <c r="K3" s="30" t="s">
        <v>47</v>
      </c>
      <c r="L3" s="30" t="s">
        <v>48</v>
      </c>
      <c r="M3" s="30" t="s">
        <v>49</v>
      </c>
      <c r="N3" s="31">
        <f t="shared" si="1"/>
        <v>1</v>
      </c>
      <c r="O3" s="31">
        <f t="shared" si="2"/>
        <v>1</v>
      </c>
      <c r="P3" s="31">
        <f t="shared" si="3"/>
        <v>1</v>
      </c>
      <c r="Q3" s="31">
        <f t="shared" si="4"/>
        <v>1</v>
      </c>
      <c r="R3" s="31">
        <f t="shared" si="5"/>
        <v>1</v>
      </c>
      <c r="S3" s="31">
        <f t="shared" si="6"/>
        <v>1</v>
      </c>
      <c r="T3" s="31">
        <f t="shared" si="7"/>
        <v>1</v>
      </c>
      <c r="U3" s="31">
        <f t="shared" si="8"/>
        <v>1</v>
      </c>
      <c r="V3" s="31">
        <f t="shared" si="9"/>
        <v>1</v>
      </c>
    </row>
    <row r="4" spans="1:22" ht="15" customHeight="1" x14ac:dyDescent="0.25">
      <c r="A4" s="6" t="s">
        <v>50</v>
      </c>
      <c r="B4" s="6" t="s">
        <v>44</v>
      </c>
      <c r="C4" s="6">
        <v>10</v>
      </c>
      <c r="D4" s="6" t="s">
        <v>51</v>
      </c>
      <c r="E4" s="7" t="str">
        <f t="shared" si="0"/>
        <v>B</v>
      </c>
      <c r="F4" s="29" t="s">
        <v>36</v>
      </c>
      <c r="G4" s="29" t="s">
        <v>47</v>
      </c>
      <c r="H4" s="29" t="s">
        <v>41</v>
      </c>
      <c r="I4" s="29" t="s">
        <v>39</v>
      </c>
      <c r="J4" s="30" t="s">
        <v>36</v>
      </c>
      <c r="K4" s="30" t="s">
        <v>35</v>
      </c>
      <c r="L4" s="30" t="s">
        <v>48</v>
      </c>
      <c r="M4" s="30" t="s">
        <v>39</v>
      </c>
      <c r="N4" s="31">
        <f t="shared" si="1"/>
        <v>2</v>
      </c>
      <c r="O4" s="31">
        <f t="shared" si="2"/>
        <v>2</v>
      </c>
      <c r="P4" s="31">
        <f t="shared" si="3"/>
        <v>2</v>
      </c>
      <c r="Q4" s="31">
        <f t="shared" si="4"/>
        <v>2</v>
      </c>
      <c r="R4" s="31">
        <f t="shared" si="5"/>
        <v>1</v>
      </c>
      <c r="S4" s="31">
        <f t="shared" si="6"/>
        <v>2</v>
      </c>
      <c r="T4" s="31">
        <f t="shared" si="7"/>
        <v>0</v>
      </c>
      <c r="U4" s="31">
        <f t="shared" si="8"/>
        <v>0</v>
      </c>
      <c r="V4" s="31">
        <f t="shared" si="9"/>
        <v>0</v>
      </c>
    </row>
    <row r="5" spans="1:22" ht="15" customHeight="1" x14ac:dyDescent="0.25">
      <c r="A5" s="6" t="s">
        <v>52</v>
      </c>
      <c r="B5" s="6" t="s">
        <v>34</v>
      </c>
      <c r="C5" s="6">
        <v>11</v>
      </c>
      <c r="D5" s="6" t="s">
        <v>51</v>
      </c>
      <c r="E5" s="7" t="str">
        <f t="shared" si="0"/>
        <v>B</v>
      </c>
      <c r="F5" s="29" t="s">
        <v>40</v>
      </c>
      <c r="G5" s="29" t="s">
        <v>51</v>
      </c>
      <c r="H5" s="29" t="s">
        <v>38</v>
      </c>
      <c r="I5" s="29" t="s">
        <v>42</v>
      </c>
      <c r="J5" s="30" t="s">
        <v>40</v>
      </c>
      <c r="K5" s="30" t="s">
        <v>51</v>
      </c>
      <c r="L5" s="30" t="s">
        <v>38</v>
      </c>
      <c r="M5" s="30" t="s">
        <v>42</v>
      </c>
      <c r="N5" s="31">
        <f t="shared" si="1"/>
        <v>3</v>
      </c>
      <c r="O5" s="31">
        <f t="shared" si="2"/>
        <v>3</v>
      </c>
      <c r="P5" s="31">
        <f t="shared" si="3"/>
        <v>3</v>
      </c>
      <c r="Q5" s="31">
        <f t="shared" si="4"/>
        <v>3</v>
      </c>
      <c r="R5" s="31">
        <f t="shared" si="5"/>
        <v>3</v>
      </c>
      <c r="S5" s="31">
        <f t="shared" si="6"/>
        <v>3</v>
      </c>
      <c r="T5" s="31">
        <f t="shared" si="7"/>
        <v>1</v>
      </c>
      <c r="U5" s="31">
        <f t="shared" si="8"/>
        <v>1</v>
      </c>
      <c r="V5" s="31">
        <f t="shared" si="9"/>
        <v>1</v>
      </c>
    </row>
    <row r="6" spans="1:22" ht="15" customHeight="1" x14ac:dyDescent="0.25">
      <c r="A6" s="6" t="s">
        <v>53</v>
      </c>
      <c r="B6" s="6" t="s">
        <v>34</v>
      </c>
      <c r="C6" s="6">
        <v>7</v>
      </c>
      <c r="D6" s="6" t="s">
        <v>51</v>
      </c>
      <c r="E6" s="7" t="str">
        <f t="shared" si="0"/>
        <v>B</v>
      </c>
      <c r="F6" s="29" t="s">
        <v>40</v>
      </c>
      <c r="G6" s="29" t="s">
        <v>51</v>
      </c>
      <c r="H6" s="29" t="s">
        <v>38</v>
      </c>
      <c r="I6" s="29" t="s">
        <v>42</v>
      </c>
      <c r="J6" s="30" t="s">
        <v>40</v>
      </c>
      <c r="K6" s="30" t="s">
        <v>51</v>
      </c>
      <c r="L6" s="30" t="s">
        <v>41</v>
      </c>
      <c r="M6" s="30" t="s">
        <v>42</v>
      </c>
      <c r="N6" s="31">
        <f t="shared" si="1"/>
        <v>3</v>
      </c>
      <c r="O6" s="31">
        <f t="shared" si="2"/>
        <v>3</v>
      </c>
      <c r="P6" s="31">
        <f t="shared" si="3"/>
        <v>3</v>
      </c>
      <c r="Q6" s="31">
        <f t="shared" si="4"/>
        <v>3</v>
      </c>
      <c r="R6" s="31">
        <f t="shared" si="5"/>
        <v>2</v>
      </c>
      <c r="S6" s="31">
        <f t="shared" si="6"/>
        <v>3</v>
      </c>
      <c r="T6" s="31">
        <f t="shared" si="7"/>
        <v>1</v>
      </c>
      <c r="U6" s="31">
        <f t="shared" si="8"/>
        <v>1</v>
      </c>
      <c r="V6" s="31">
        <f t="shared" si="9"/>
        <v>1</v>
      </c>
    </row>
    <row r="7" spans="1:22" ht="15" customHeight="1" x14ac:dyDescent="0.25">
      <c r="A7" s="6" t="s">
        <v>54</v>
      </c>
      <c r="B7" s="6" t="s">
        <v>44</v>
      </c>
      <c r="C7" s="6">
        <v>6</v>
      </c>
      <c r="D7" s="6" t="s">
        <v>45</v>
      </c>
      <c r="E7" s="7" t="str">
        <f t="shared" si="0"/>
        <v>Inductive</v>
      </c>
      <c r="F7" s="29" t="s">
        <v>36</v>
      </c>
      <c r="G7" s="29" t="s">
        <v>51</v>
      </c>
      <c r="H7" s="29" t="s">
        <v>38</v>
      </c>
      <c r="I7" s="29" t="s">
        <v>39</v>
      </c>
      <c r="J7" s="30" t="s">
        <v>46</v>
      </c>
      <c r="K7" s="30" t="s">
        <v>47</v>
      </c>
      <c r="L7" s="30" t="s">
        <v>48</v>
      </c>
      <c r="M7" s="30" t="s">
        <v>49</v>
      </c>
      <c r="N7" s="31">
        <f t="shared" si="1"/>
        <v>2</v>
      </c>
      <c r="O7" s="31">
        <f t="shared" si="2"/>
        <v>3</v>
      </c>
      <c r="P7" s="31">
        <f t="shared" si="3"/>
        <v>2</v>
      </c>
      <c r="Q7" s="31">
        <f t="shared" si="4"/>
        <v>1</v>
      </c>
      <c r="R7" s="31">
        <f t="shared" si="5"/>
        <v>1</v>
      </c>
      <c r="S7" s="31">
        <f t="shared" si="6"/>
        <v>1</v>
      </c>
      <c r="T7" s="31">
        <f t="shared" si="7"/>
        <v>0</v>
      </c>
      <c r="U7" s="31">
        <f t="shared" si="8"/>
        <v>1</v>
      </c>
      <c r="V7" s="31">
        <f t="shared" si="9"/>
        <v>0</v>
      </c>
    </row>
    <row r="8" spans="1:22" ht="15" customHeight="1" x14ac:dyDescent="0.25">
      <c r="A8" s="6" t="s">
        <v>55</v>
      </c>
      <c r="B8" s="6" t="s">
        <v>44</v>
      </c>
      <c r="C8" s="6">
        <v>5</v>
      </c>
      <c r="D8" s="6" t="s">
        <v>51</v>
      </c>
      <c r="E8" s="7" t="str">
        <f t="shared" si="0"/>
        <v>B</v>
      </c>
      <c r="F8" s="29" t="s">
        <v>36</v>
      </c>
      <c r="G8" s="29" t="s">
        <v>51</v>
      </c>
      <c r="H8" s="29" t="s">
        <v>41</v>
      </c>
      <c r="I8" s="29" t="s">
        <v>39</v>
      </c>
      <c r="J8" s="30" t="s">
        <v>36</v>
      </c>
      <c r="K8" s="30" t="s">
        <v>51</v>
      </c>
      <c r="L8" s="30" t="s">
        <v>48</v>
      </c>
      <c r="M8" s="30" t="s">
        <v>42</v>
      </c>
      <c r="N8" s="31">
        <f t="shared" si="1"/>
        <v>2</v>
      </c>
      <c r="O8" s="31">
        <f t="shared" si="2"/>
        <v>2</v>
      </c>
      <c r="P8" s="31">
        <f t="shared" si="3"/>
        <v>2</v>
      </c>
      <c r="Q8" s="31">
        <f t="shared" si="4"/>
        <v>2</v>
      </c>
      <c r="R8" s="31">
        <f t="shared" si="5"/>
        <v>1</v>
      </c>
      <c r="S8" s="31">
        <f t="shared" si="6"/>
        <v>3</v>
      </c>
      <c r="T8" s="31">
        <f t="shared" si="7"/>
        <v>1</v>
      </c>
      <c r="U8" s="31">
        <f t="shared" si="8"/>
        <v>1</v>
      </c>
      <c r="V8" s="31">
        <f t="shared" si="9"/>
        <v>1</v>
      </c>
    </row>
    <row r="9" spans="1:22" ht="15" customHeight="1" x14ac:dyDescent="0.25">
      <c r="A9" s="6" t="s">
        <v>56</v>
      </c>
      <c r="B9" s="6" t="s">
        <v>44</v>
      </c>
      <c r="C9" s="6">
        <v>12</v>
      </c>
      <c r="D9" s="6" t="s">
        <v>51</v>
      </c>
      <c r="E9" s="7" t="str">
        <f t="shared" si="0"/>
        <v>B</v>
      </c>
      <c r="F9" s="29" t="s">
        <v>36</v>
      </c>
      <c r="G9" s="29" t="s">
        <v>51</v>
      </c>
      <c r="H9" s="29" t="s">
        <v>41</v>
      </c>
      <c r="I9" s="29" t="s">
        <v>42</v>
      </c>
      <c r="J9" s="30" t="s">
        <v>40</v>
      </c>
      <c r="K9" s="30" t="s">
        <v>51</v>
      </c>
      <c r="L9" s="30" t="s">
        <v>41</v>
      </c>
      <c r="M9" s="30" t="s">
        <v>42</v>
      </c>
      <c r="N9" s="31">
        <f t="shared" si="1"/>
        <v>2</v>
      </c>
      <c r="O9" s="31">
        <f t="shared" si="2"/>
        <v>2</v>
      </c>
      <c r="P9" s="31">
        <f t="shared" si="3"/>
        <v>3</v>
      </c>
      <c r="Q9" s="31">
        <f t="shared" si="4"/>
        <v>3</v>
      </c>
      <c r="R9" s="31">
        <f t="shared" si="5"/>
        <v>2</v>
      </c>
      <c r="S9" s="31">
        <f t="shared" si="6"/>
        <v>3</v>
      </c>
      <c r="T9" s="31">
        <f t="shared" si="7"/>
        <v>1</v>
      </c>
      <c r="U9" s="31">
        <f t="shared" si="8"/>
        <v>1</v>
      </c>
      <c r="V9" s="31">
        <f t="shared" si="9"/>
        <v>1</v>
      </c>
    </row>
    <row r="10" spans="1:22" ht="15" customHeight="1" x14ac:dyDescent="0.25">
      <c r="A10" s="6" t="s">
        <v>57</v>
      </c>
      <c r="B10" s="6" t="s">
        <v>44</v>
      </c>
      <c r="C10" s="6">
        <v>11</v>
      </c>
      <c r="D10" s="6" t="s">
        <v>45</v>
      </c>
      <c r="E10" s="7" t="str">
        <f t="shared" si="0"/>
        <v>Inductive</v>
      </c>
      <c r="F10" s="29" t="s">
        <v>46</v>
      </c>
      <c r="G10" s="29" t="s">
        <v>47</v>
      </c>
      <c r="H10" s="29" t="s">
        <v>48</v>
      </c>
      <c r="I10" s="29" t="s">
        <v>39</v>
      </c>
      <c r="J10" s="30" t="s">
        <v>36</v>
      </c>
      <c r="K10" s="30" t="s">
        <v>35</v>
      </c>
      <c r="L10" s="30" t="s">
        <v>48</v>
      </c>
      <c r="M10" s="30" t="s">
        <v>42</v>
      </c>
      <c r="N10" s="31">
        <f t="shared" si="1"/>
        <v>1</v>
      </c>
      <c r="O10" s="31">
        <f t="shared" si="2"/>
        <v>1</v>
      </c>
      <c r="P10" s="31">
        <f t="shared" si="3"/>
        <v>2</v>
      </c>
      <c r="Q10" s="31">
        <f t="shared" si="4"/>
        <v>2</v>
      </c>
      <c r="R10" s="31">
        <f t="shared" si="5"/>
        <v>1</v>
      </c>
      <c r="S10" s="31">
        <f t="shared" si="6"/>
        <v>3</v>
      </c>
      <c r="T10" s="31">
        <f t="shared" si="7"/>
        <v>1</v>
      </c>
      <c r="U10" s="31">
        <f t="shared" si="8"/>
        <v>0</v>
      </c>
      <c r="V10" s="31">
        <f t="shared" si="9"/>
        <v>0</v>
      </c>
    </row>
    <row r="11" spans="1:22" ht="15" customHeight="1" x14ac:dyDescent="0.25">
      <c r="A11" s="6" t="s">
        <v>58</v>
      </c>
      <c r="B11" s="6" t="s">
        <v>34</v>
      </c>
      <c r="C11" s="6">
        <v>0</v>
      </c>
      <c r="D11" s="6" t="s">
        <v>51</v>
      </c>
      <c r="E11" s="7" t="str">
        <f t="shared" si="0"/>
        <v>B</v>
      </c>
      <c r="F11" s="29" t="s">
        <v>40</v>
      </c>
      <c r="G11" s="29" t="s">
        <v>51</v>
      </c>
      <c r="H11" s="29" t="s">
        <v>38</v>
      </c>
      <c r="I11" s="29" t="s">
        <v>42</v>
      </c>
      <c r="J11" s="30" t="s">
        <v>36</v>
      </c>
      <c r="K11" s="30" t="s">
        <v>51</v>
      </c>
      <c r="L11" s="30" t="s">
        <v>41</v>
      </c>
      <c r="M11" s="30" t="s">
        <v>42</v>
      </c>
      <c r="N11" s="31">
        <f t="shared" si="1"/>
        <v>3</v>
      </c>
      <c r="O11" s="31">
        <f t="shared" si="2"/>
        <v>3</v>
      </c>
      <c r="P11" s="31">
        <f t="shared" si="3"/>
        <v>3</v>
      </c>
      <c r="Q11" s="31">
        <f t="shared" si="4"/>
        <v>2</v>
      </c>
      <c r="R11" s="31">
        <f t="shared" si="5"/>
        <v>2</v>
      </c>
      <c r="S11" s="31">
        <f t="shared" si="6"/>
        <v>3</v>
      </c>
      <c r="T11" s="31">
        <f t="shared" si="7"/>
        <v>1</v>
      </c>
      <c r="U11" s="31">
        <f t="shared" si="8"/>
        <v>1</v>
      </c>
      <c r="V11" s="31">
        <f t="shared" si="9"/>
        <v>1</v>
      </c>
    </row>
    <row r="12" spans="1:22" ht="15" customHeight="1" x14ac:dyDescent="0.25">
      <c r="A12" s="6" t="s">
        <v>59</v>
      </c>
      <c r="B12" s="6" t="s">
        <v>44</v>
      </c>
      <c r="C12" s="6">
        <v>9</v>
      </c>
      <c r="D12" s="6" t="s">
        <v>35</v>
      </c>
      <c r="E12" s="7" t="str">
        <f t="shared" si="0"/>
        <v>D</v>
      </c>
      <c r="F12" s="29" t="s">
        <v>46</v>
      </c>
      <c r="G12" s="29" t="s">
        <v>47</v>
      </c>
      <c r="H12" s="29" t="s">
        <v>48</v>
      </c>
      <c r="I12" s="29" t="s">
        <v>49</v>
      </c>
      <c r="J12" s="30" t="s">
        <v>36</v>
      </c>
      <c r="K12" s="30" t="s">
        <v>35</v>
      </c>
      <c r="L12" s="30" t="s">
        <v>48</v>
      </c>
      <c r="M12" s="30" t="s">
        <v>39</v>
      </c>
      <c r="N12" s="31">
        <f t="shared" si="1"/>
        <v>1</v>
      </c>
      <c r="O12" s="31">
        <f t="shared" si="2"/>
        <v>1</v>
      </c>
      <c r="P12" s="31">
        <f t="shared" si="3"/>
        <v>1</v>
      </c>
      <c r="Q12" s="31">
        <f t="shared" si="4"/>
        <v>2</v>
      </c>
      <c r="R12" s="31">
        <f t="shared" si="5"/>
        <v>1</v>
      </c>
      <c r="S12" s="31">
        <f t="shared" si="6"/>
        <v>2</v>
      </c>
      <c r="T12" s="31">
        <f t="shared" si="7"/>
        <v>0</v>
      </c>
      <c r="U12" s="31">
        <f t="shared" si="8"/>
        <v>1</v>
      </c>
      <c r="V12" s="31">
        <f t="shared" si="9"/>
        <v>0</v>
      </c>
    </row>
    <row r="13" spans="1:22" ht="15" customHeight="1" x14ac:dyDescent="0.25">
      <c r="A13" s="6" t="s">
        <v>60</v>
      </c>
      <c r="B13" s="6" t="s">
        <v>34</v>
      </c>
      <c r="C13" s="6">
        <v>10</v>
      </c>
      <c r="D13" s="6" t="s">
        <v>51</v>
      </c>
      <c r="E13" s="7" t="str">
        <f t="shared" si="0"/>
        <v>B</v>
      </c>
      <c r="F13" s="29" t="s">
        <v>40</v>
      </c>
      <c r="G13" s="29" t="s">
        <v>51</v>
      </c>
      <c r="H13" s="29" t="s">
        <v>38</v>
      </c>
      <c r="I13" s="29" t="s">
        <v>42</v>
      </c>
      <c r="J13" s="30" t="s">
        <v>40</v>
      </c>
      <c r="K13" s="30" t="s">
        <v>51</v>
      </c>
      <c r="L13" s="30" t="s">
        <v>41</v>
      </c>
      <c r="M13" s="30" t="s">
        <v>42</v>
      </c>
      <c r="N13" s="31">
        <f t="shared" si="1"/>
        <v>3</v>
      </c>
      <c r="O13" s="31">
        <f t="shared" si="2"/>
        <v>3</v>
      </c>
      <c r="P13" s="31">
        <f t="shared" si="3"/>
        <v>3</v>
      </c>
      <c r="Q13" s="31">
        <f t="shared" si="4"/>
        <v>3</v>
      </c>
      <c r="R13" s="31">
        <f t="shared" si="5"/>
        <v>2</v>
      </c>
      <c r="S13" s="31">
        <f t="shared" si="6"/>
        <v>3</v>
      </c>
      <c r="T13" s="31">
        <f t="shared" si="7"/>
        <v>1</v>
      </c>
      <c r="U13" s="31">
        <f t="shared" si="8"/>
        <v>1</v>
      </c>
      <c r="V13" s="31">
        <f t="shared" si="9"/>
        <v>1</v>
      </c>
    </row>
    <row r="14" spans="1:22" ht="15" customHeight="1" x14ac:dyDescent="0.25">
      <c r="A14" s="6" t="s">
        <v>61</v>
      </c>
      <c r="B14" s="6" t="s">
        <v>34</v>
      </c>
      <c r="C14" s="6">
        <v>14</v>
      </c>
      <c r="D14" s="6" t="s">
        <v>51</v>
      </c>
      <c r="E14" s="7" t="str">
        <f t="shared" si="0"/>
        <v>B</v>
      </c>
      <c r="F14" s="29" t="s">
        <v>46</v>
      </c>
      <c r="G14" s="29" t="s">
        <v>47</v>
      </c>
      <c r="H14" s="29" t="s">
        <v>48</v>
      </c>
      <c r="I14" s="29" t="s">
        <v>39</v>
      </c>
      <c r="J14" s="30" t="s">
        <v>36</v>
      </c>
      <c r="K14" s="30" t="s">
        <v>35</v>
      </c>
      <c r="L14" s="30" t="s">
        <v>48</v>
      </c>
      <c r="M14" s="30" t="s">
        <v>39</v>
      </c>
      <c r="N14" s="31">
        <f t="shared" si="1"/>
        <v>1</v>
      </c>
      <c r="O14" s="31">
        <f t="shared" si="2"/>
        <v>1</v>
      </c>
      <c r="P14" s="31">
        <f t="shared" si="3"/>
        <v>2</v>
      </c>
      <c r="Q14" s="31">
        <f t="shared" si="4"/>
        <v>2</v>
      </c>
      <c r="R14" s="31">
        <f t="shared" si="5"/>
        <v>1</v>
      </c>
      <c r="S14" s="31">
        <f t="shared" si="6"/>
        <v>2</v>
      </c>
      <c r="T14" s="31">
        <f t="shared" si="7"/>
        <v>0</v>
      </c>
      <c r="U14" s="31">
        <f t="shared" si="8"/>
        <v>0</v>
      </c>
      <c r="V14" s="31">
        <f t="shared" si="9"/>
        <v>0</v>
      </c>
    </row>
    <row r="15" spans="1:22" ht="15" customHeight="1" x14ac:dyDescent="0.25">
      <c r="A15" s="6" t="s">
        <v>62</v>
      </c>
      <c r="B15" s="6" t="s">
        <v>34</v>
      </c>
      <c r="C15" s="6">
        <v>6</v>
      </c>
      <c r="D15" s="6" t="s">
        <v>35</v>
      </c>
      <c r="E15" s="7" t="str">
        <f t="shared" si="0"/>
        <v>D</v>
      </c>
      <c r="F15" s="29" t="s">
        <v>46</v>
      </c>
      <c r="G15" s="29" t="s">
        <v>47</v>
      </c>
      <c r="H15" s="29" t="s">
        <v>48</v>
      </c>
      <c r="I15" s="29" t="s">
        <v>42</v>
      </c>
      <c r="J15" s="30" t="s">
        <v>40</v>
      </c>
      <c r="K15" s="30" t="s">
        <v>35</v>
      </c>
      <c r="L15" s="30" t="s">
        <v>48</v>
      </c>
      <c r="M15" s="30" t="s">
        <v>42</v>
      </c>
      <c r="N15" s="31">
        <f t="shared" si="1"/>
        <v>1</v>
      </c>
      <c r="O15" s="31">
        <f t="shared" si="2"/>
        <v>1</v>
      </c>
      <c r="P15" s="31">
        <f t="shared" si="3"/>
        <v>3</v>
      </c>
      <c r="Q15" s="31">
        <f t="shared" si="4"/>
        <v>3</v>
      </c>
      <c r="R15" s="31">
        <f t="shared" si="5"/>
        <v>1</v>
      </c>
      <c r="S15" s="31">
        <f t="shared" si="6"/>
        <v>3</v>
      </c>
      <c r="T15" s="31">
        <f t="shared" si="7"/>
        <v>0</v>
      </c>
      <c r="U15" s="31">
        <f t="shared" si="8"/>
        <v>1</v>
      </c>
      <c r="V15" s="31">
        <f t="shared" si="9"/>
        <v>0</v>
      </c>
    </row>
    <row r="16" spans="1:22" ht="15" customHeight="1" x14ac:dyDescent="0.25">
      <c r="A16" s="6" t="s">
        <v>63</v>
      </c>
      <c r="B16" s="6" t="s">
        <v>34</v>
      </c>
      <c r="C16" s="6">
        <v>1</v>
      </c>
      <c r="D16" s="6" t="s">
        <v>37</v>
      </c>
      <c r="E16" s="7" t="str">
        <f t="shared" si="0"/>
        <v>A</v>
      </c>
      <c r="F16" s="29" t="s">
        <v>36</v>
      </c>
      <c r="G16" s="29" t="s">
        <v>51</v>
      </c>
      <c r="H16" s="29" t="s">
        <v>48</v>
      </c>
      <c r="I16" s="29" t="s">
        <v>39</v>
      </c>
      <c r="J16" s="30" t="s">
        <v>36</v>
      </c>
      <c r="K16" s="30" t="s">
        <v>51</v>
      </c>
      <c r="L16" s="30" t="s">
        <v>48</v>
      </c>
      <c r="M16" s="30" t="s">
        <v>42</v>
      </c>
      <c r="N16" s="31">
        <f t="shared" si="1"/>
        <v>2</v>
      </c>
      <c r="O16" s="31">
        <f t="shared" si="2"/>
        <v>1</v>
      </c>
      <c r="P16" s="31">
        <f t="shared" si="3"/>
        <v>2</v>
      </c>
      <c r="Q16" s="31">
        <f t="shared" si="4"/>
        <v>2</v>
      </c>
      <c r="R16" s="31">
        <f t="shared" si="5"/>
        <v>1</v>
      </c>
      <c r="S16" s="31">
        <f t="shared" si="6"/>
        <v>3</v>
      </c>
      <c r="T16" s="31">
        <f t="shared" si="7"/>
        <v>0</v>
      </c>
      <c r="U16" s="31">
        <f t="shared" si="8"/>
        <v>0</v>
      </c>
      <c r="V16" s="31">
        <f t="shared" si="9"/>
        <v>1</v>
      </c>
    </row>
    <row r="17" spans="1:22" ht="15" customHeight="1" x14ac:dyDescent="0.25">
      <c r="A17" s="6" t="s">
        <v>64</v>
      </c>
      <c r="B17" s="6" t="s">
        <v>34</v>
      </c>
      <c r="C17" s="6">
        <v>12</v>
      </c>
      <c r="D17" s="6" t="s">
        <v>45</v>
      </c>
      <c r="E17" s="7" t="str">
        <f t="shared" si="0"/>
        <v>Inductive</v>
      </c>
      <c r="F17" s="29" t="s">
        <v>36</v>
      </c>
      <c r="G17" s="29" t="s">
        <v>47</v>
      </c>
      <c r="H17" s="29" t="s">
        <v>38</v>
      </c>
      <c r="I17" s="29" t="s">
        <v>39</v>
      </c>
      <c r="J17" s="30" t="s">
        <v>36</v>
      </c>
      <c r="K17" s="30" t="s">
        <v>37</v>
      </c>
      <c r="L17" s="30" t="s">
        <v>48</v>
      </c>
      <c r="M17" s="30" t="s">
        <v>42</v>
      </c>
      <c r="N17" s="31">
        <f t="shared" si="1"/>
        <v>2</v>
      </c>
      <c r="O17" s="31">
        <f t="shared" si="2"/>
        <v>3</v>
      </c>
      <c r="P17" s="31">
        <f t="shared" si="3"/>
        <v>2</v>
      </c>
      <c r="Q17" s="31">
        <f t="shared" si="4"/>
        <v>2</v>
      </c>
      <c r="R17" s="31">
        <f t="shared" si="5"/>
        <v>1</v>
      </c>
      <c r="S17" s="31">
        <f t="shared" si="6"/>
        <v>3</v>
      </c>
      <c r="T17" s="31">
        <f t="shared" si="7"/>
        <v>1</v>
      </c>
      <c r="U17" s="31">
        <f t="shared" si="8"/>
        <v>0</v>
      </c>
      <c r="V17" s="31">
        <f t="shared" si="9"/>
        <v>0</v>
      </c>
    </row>
    <row r="18" spans="1:22" ht="15" customHeight="1" x14ac:dyDescent="0.25">
      <c r="A18" s="6" t="s">
        <v>65</v>
      </c>
      <c r="B18" s="6" t="s">
        <v>44</v>
      </c>
      <c r="C18" s="6">
        <v>1</v>
      </c>
      <c r="D18" s="6" t="s">
        <v>45</v>
      </c>
      <c r="E18" s="7" t="str">
        <f t="shared" si="0"/>
        <v>Inductive</v>
      </c>
      <c r="F18" s="29" t="s">
        <v>46</v>
      </c>
      <c r="G18" s="29" t="s">
        <v>47</v>
      </c>
      <c r="H18" s="29" t="s">
        <v>48</v>
      </c>
      <c r="I18" s="29" t="s">
        <v>39</v>
      </c>
      <c r="J18" s="30" t="s">
        <v>36</v>
      </c>
      <c r="K18" s="30" t="s">
        <v>35</v>
      </c>
      <c r="L18" s="30" t="s">
        <v>48</v>
      </c>
      <c r="M18" s="30" t="s">
        <v>42</v>
      </c>
      <c r="N18" s="31">
        <f t="shared" si="1"/>
        <v>1</v>
      </c>
      <c r="O18" s="31">
        <f t="shared" si="2"/>
        <v>1</v>
      </c>
      <c r="P18" s="31">
        <f t="shared" si="3"/>
        <v>2</v>
      </c>
      <c r="Q18" s="31">
        <f t="shared" si="4"/>
        <v>2</v>
      </c>
      <c r="R18" s="31">
        <f t="shared" si="5"/>
        <v>1</v>
      </c>
      <c r="S18" s="31">
        <f t="shared" si="6"/>
        <v>3</v>
      </c>
      <c r="T18" s="31">
        <f t="shared" si="7"/>
        <v>1</v>
      </c>
      <c r="U18" s="31">
        <f t="shared" si="8"/>
        <v>0</v>
      </c>
      <c r="V18" s="31">
        <f t="shared" si="9"/>
        <v>0</v>
      </c>
    </row>
    <row r="19" spans="1:22" ht="15" customHeight="1" x14ac:dyDescent="0.25">
      <c r="A19" s="6" t="s">
        <v>66</v>
      </c>
      <c r="B19" s="6" t="s">
        <v>44</v>
      </c>
      <c r="C19" s="6">
        <v>13</v>
      </c>
      <c r="D19" s="6" t="s">
        <v>37</v>
      </c>
      <c r="E19" s="7" t="str">
        <f t="shared" si="0"/>
        <v>A</v>
      </c>
      <c r="F19" s="29" t="s">
        <v>36</v>
      </c>
      <c r="G19" s="29" t="s">
        <v>51</v>
      </c>
      <c r="H19" s="29" t="s">
        <v>41</v>
      </c>
      <c r="I19" s="29" t="s">
        <v>39</v>
      </c>
      <c r="J19" s="30" t="s">
        <v>40</v>
      </c>
      <c r="K19" s="30" t="s">
        <v>51</v>
      </c>
      <c r="L19" s="30" t="s">
        <v>41</v>
      </c>
      <c r="M19" s="30" t="s">
        <v>39</v>
      </c>
      <c r="N19" s="31">
        <f t="shared" si="1"/>
        <v>2</v>
      </c>
      <c r="O19" s="31">
        <f t="shared" si="2"/>
        <v>2</v>
      </c>
      <c r="P19" s="31">
        <f t="shared" si="3"/>
        <v>2</v>
      </c>
      <c r="Q19" s="31">
        <f t="shared" si="4"/>
        <v>3</v>
      </c>
      <c r="R19" s="31">
        <f t="shared" si="5"/>
        <v>2</v>
      </c>
      <c r="S19" s="31">
        <f t="shared" si="6"/>
        <v>2</v>
      </c>
      <c r="T19" s="31">
        <f t="shared" si="7"/>
        <v>0</v>
      </c>
      <c r="U19" s="31">
        <f t="shared" si="8"/>
        <v>0</v>
      </c>
      <c r="V19" s="31">
        <f t="shared" si="9"/>
        <v>1</v>
      </c>
    </row>
    <row r="20" spans="1:22" ht="15" customHeight="1" x14ac:dyDescent="0.25">
      <c r="A20" s="6" t="s">
        <v>67</v>
      </c>
      <c r="B20" s="6" t="s">
        <v>34</v>
      </c>
      <c r="C20" s="6">
        <v>3</v>
      </c>
      <c r="D20" s="6" t="s">
        <v>51</v>
      </c>
      <c r="E20" s="7" t="str">
        <f t="shared" si="0"/>
        <v>B</v>
      </c>
      <c r="F20" s="29" t="s">
        <v>40</v>
      </c>
      <c r="G20" s="29" t="s">
        <v>51</v>
      </c>
      <c r="H20" s="29" t="s">
        <v>38</v>
      </c>
      <c r="I20" s="29" t="s">
        <v>42</v>
      </c>
      <c r="J20" s="30" t="s">
        <v>40</v>
      </c>
      <c r="K20" s="30" t="s">
        <v>51</v>
      </c>
      <c r="L20" s="30" t="s">
        <v>38</v>
      </c>
      <c r="M20" s="30" t="s">
        <v>42</v>
      </c>
      <c r="N20" s="31">
        <f t="shared" si="1"/>
        <v>3</v>
      </c>
      <c r="O20" s="31">
        <f t="shared" si="2"/>
        <v>3</v>
      </c>
      <c r="P20" s="31">
        <f t="shared" si="3"/>
        <v>3</v>
      </c>
      <c r="Q20" s="31">
        <f t="shared" si="4"/>
        <v>3</v>
      </c>
      <c r="R20" s="31">
        <f t="shared" si="5"/>
        <v>3</v>
      </c>
      <c r="S20" s="31">
        <f t="shared" si="6"/>
        <v>3</v>
      </c>
      <c r="T20" s="31">
        <f t="shared" si="7"/>
        <v>1</v>
      </c>
      <c r="U20" s="31">
        <f t="shared" si="8"/>
        <v>1</v>
      </c>
      <c r="V20" s="31">
        <f t="shared" si="9"/>
        <v>1</v>
      </c>
    </row>
    <row r="21" spans="1:22" ht="15" customHeight="1" x14ac:dyDescent="0.25">
      <c r="A21" s="6" t="s">
        <v>68</v>
      </c>
      <c r="B21" s="6" t="s">
        <v>44</v>
      </c>
      <c r="C21" s="6">
        <v>2</v>
      </c>
      <c r="D21" s="6" t="s">
        <v>45</v>
      </c>
      <c r="E21" s="7" t="str">
        <f t="shared" si="0"/>
        <v>Inductive</v>
      </c>
      <c r="F21" s="29" t="s">
        <v>36</v>
      </c>
      <c r="G21" s="29" t="s">
        <v>47</v>
      </c>
      <c r="H21" s="29" t="s">
        <v>48</v>
      </c>
      <c r="I21" s="29" t="s">
        <v>39</v>
      </c>
      <c r="J21" s="30" t="s">
        <v>40</v>
      </c>
      <c r="K21" s="30" t="s">
        <v>51</v>
      </c>
      <c r="L21" s="30" t="s">
        <v>48</v>
      </c>
      <c r="M21" s="30" t="s">
        <v>42</v>
      </c>
      <c r="N21" s="31">
        <f t="shared" si="1"/>
        <v>2</v>
      </c>
      <c r="O21" s="31">
        <f t="shared" si="2"/>
        <v>1</v>
      </c>
      <c r="P21" s="31">
        <f t="shared" si="3"/>
        <v>2</v>
      </c>
      <c r="Q21" s="31">
        <f t="shared" si="4"/>
        <v>3</v>
      </c>
      <c r="R21" s="31">
        <f t="shared" si="5"/>
        <v>1</v>
      </c>
      <c r="S21" s="31">
        <f t="shared" si="6"/>
        <v>3</v>
      </c>
      <c r="T21" s="31">
        <f t="shared" si="7"/>
        <v>1</v>
      </c>
      <c r="U21" s="31">
        <f t="shared" si="8"/>
        <v>0</v>
      </c>
      <c r="V21" s="31">
        <f t="shared" si="9"/>
        <v>0</v>
      </c>
    </row>
    <row r="22" spans="1:22" ht="15" customHeight="1" x14ac:dyDescent="0.25">
      <c r="A22" s="6" t="s">
        <v>69</v>
      </c>
      <c r="B22" s="6" t="s">
        <v>34</v>
      </c>
      <c r="C22" s="6">
        <v>2</v>
      </c>
      <c r="D22" s="6" t="s">
        <v>37</v>
      </c>
      <c r="E22" s="7" t="str">
        <f t="shared" si="0"/>
        <v>A</v>
      </c>
      <c r="F22" s="29" t="s">
        <v>36</v>
      </c>
      <c r="G22" s="29" t="s">
        <v>47</v>
      </c>
      <c r="H22" s="29" t="s">
        <v>38</v>
      </c>
      <c r="I22" s="29" t="s">
        <v>42</v>
      </c>
      <c r="J22" s="30" t="s">
        <v>40</v>
      </c>
      <c r="K22" s="30" t="s">
        <v>70</v>
      </c>
      <c r="L22" s="30" t="s">
        <v>38</v>
      </c>
      <c r="M22" s="30" t="s">
        <v>42</v>
      </c>
      <c r="N22" s="31">
        <f t="shared" si="1"/>
        <v>2</v>
      </c>
      <c r="O22" s="31">
        <f t="shared" si="2"/>
        <v>3</v>
      </c>
      <c r="P22" s="31">
        <f t="shared" si="3"/>
        <v>3</v>
      </c>
      <c r="Q22" s="31">
        <f t="shared" si="4"/>
        <v>3</v>
      </c>
      <c r="R22" s="31">
        <f t="shared" si="5"/>
        <v>3</v>
      </c>
      <c r="S22" s="31">
        <f t="shared" si="6"/>
        <v>3</v>
      </c>
      <c r="T22" s="31">
        <f t="shared" si="7"/>
        <v>0</v>
      </c>
      <c r="U22" s="31">
        <f t="shared" si="8"/>
        <v>0</v>
      </c>
      <c r="V22" s="31">
        <f t="shared" si="9"/>
        <v>0</v>
      </c>
    </row>
    <row r="23" spans="1:22" ht="15" customHeight="1" x14ac:dyDescent="0.25">
      <c r="A23" s="6" t="s">
        <v>71</v>
      </c>
      <c r="B23" s="6" t="s">
        <v>34</v>
      </c>
      <c r="C23" s="6">
        <v>13</v>
      </c>
      <c r="D23" s="6" t="s">
        <v>51</v>
      </c>
      <c r="E23" s="7" t="str">
        <f t="shared" si="0"/>
        <v>B</v>
      </c>
      <c r="F23" s="29" t="s">
        <v>36</v>
      </c>
      <c r="G23" s="29" t="s">
        <v>51</v>
      </c>
      <c r="H23" s="29" t="s">
        <v>41</v>
      </c>
      <c r="I23" s="29" t="s">
        <v>39</v>
      </c>
      <c r="J23" s="30" t="s">
        <v>36</v>
      </c>
      <c r="K23" s="30" t="s">
        <v>35</v>
      </c>
      <c r="L23" s="30" t="s">
        <v>41</v>
      </c>
      <c r="M23" s="30" t="s">
        <v>42</v>
      </c>
      <c r="N23" s="31">
        <f t="shared" si="1"/>
        <v>2</v>
      </c>
      <c r="O23" s="31">
        <f t="shared" si="2"/>
        <v>2</v>
      </c>
      <c r="P23" s="31">
        <f t="shared" si="3"/>
        <v>2</v>
      </c>
      <c r="Q23" s="31">
        <f t="shared" si="4"/>
        <v>2</v>
      </c>
      <c r="R23" s="31">
        <f t="shared" si="5"/>
        <v>2</v>
      </c>
      <c r="S23" s="31">
        <f t="shared" si="6"/>
        <v>3</v>
      </c>
      <c r="T23" s="31">
        <f t="shared" si="7"/>
        <v>1</v>
      </c>
      <c r="U23" s="31">
        <f t="shared" si="8"/>
        <v>0</v>
      </c>
      <c r="V23" s="31">
        <f t="shared" si="9"/>
        <v>0</v>
      </c>
    </row>
    <row r="24" spans="1:22" ht="15" customHeight="1" x14ac:dyDescent="0.25">
      <c r="A24" s="6" t="s">
        <v>72</v>
      </c>
      <c r="B24" s="6" t="s">
        <v>44</v>
      </c>
      <c r="C24" s="6">
        <v>4</v>
      </c>
      <c r="D24" s="6" t="s">
        <v>51</v>
      </c>
      <c r="E24" s="7" t="str">
        <f t="shared" si="0"/>
        <v>B</v>
      </c>
      <c r="F24" s="29" t="s">
        <v>36</v>
      </c>
      <c r="G24" s="29" t="s">
        <v>51</v>
      </c>
      <c r="H24" s="29" t="s">
        <v>48</v>
      </c>
      <c r="I24" s="29" t="s">
        <v>39</v>
      </c>
      <c r="J24" s="30" t="s">
        <v>36</v>
      </c>
      <c r="K24" s="30" t="s">
        <v>51</v>
      </c>
      <c r="L24" s="30" t="s">
        <v>48</v>
      </c>
      <c r="M24" s="30" t="s">
        <v>42</v>
      </c>
      <c r="N24" s="31">
        <f t="shared" si="1"/>
        <v>2</v>
      </c>
      <c r="O24" s="31">
        <f t="shared" si="2"/>
        <v>1</v>
      </c>
      <c r="P24" s="31">
        <f t="shared" si="3"/>
        <v>2</v>
      </c>
      <c r="Q24" s="31">
        <f t="shared" si="4"/>
        <v>2</v>
      </c>
      <c r="R24" s="31">
        <f t="shared" si="5"/>
        <v>1</v>
      </c>
      <c r="S24" s="31">
        <f t="shared" si="6"/>
        <v>3</v>
      </c>
      <c r="T24" s="31">
        <f t="shared" si="7"/>
        <v>1</v>
      </c>
      <c r="U24" s="31">
        <f t="shared" si="8"/>
        <v>1</v>
      </c>
      <c r="V24" s="31">
        <f t="shared" si="9"/>
        <v>1</v>
      </c>
    </row>
    <row r="25" spans="1:22" ht="15" customHeight="1" x14ac:dyDescent="0.25">
      <c r="A25" s="6" t="s">
        <v>73</v>
      </c>
      <c r="B25" s="6" t="s">
        <v>34</v>
      </c>
      <c r="C25" s="6">
        <v>9</v>
      </c>
      <c r="D25" s="6" t="s">
        <v>37</v>
      </c>
      <c r="E25" s="7" t="str">
        <f t="shared" si="0"/>
        <v>A</v>
      </c>
      <c r="F25" s="29" t="s">
        <v>36</v>
      </c>
      <c r="G25" s="29" t="s">
        <v>51</v>
      </c>
      <c r="H25" s="29" t="s">
        <v>41</v>
      </c>
      <c r="I25" s="29" t="s">
        <v>39</v>
      </c>
      <c r="J25" s="30" t="s">
        <v>40</v>
      </c>
      <c r="K25" s="30" t="s">
        <v>35</v>
      </c>
      <c r="L25" s="30" t="s">
        <v>41</v>
      </c>
      <c r="M25" s="30" t="s">
        <v>42</v>
      </c>
      <c r="N25" s="31">
        <f t="shared" si="1"/>
        <v>2</v>
      </c>
      <c r="O25" s="31">
        <f t="shared" si="2"/>
        <v>2</v>
      </c>
      <c r="P25" s="31">
        <f t="shared" si="3"/>
        <v>2</v>
      </c>
      <c r="Q25" s="31">
        <f t="shared" si="4"/>
        <v>3</v>
      </c>
      <c r="R25" s="31">
        <f t="shared" si="5"/>
        <v>2</v>
      </c>
      <c r="S25" s="31">
        <f t="shared" si="6"/>
        <v>3</v>
      </c>
      <c r="T25" s="31">
        <f t="shared" si="7"/>
        <v>0</v>
      </c>
      <c r="U25" s="31">
        <f t="shared" si="8"/>
        <v>0</v>
      </c>
      <c r="V25" s="31">
        <f t="shared" si="9"/>
        <v>0</v>
      </c>
    </row>
    <row r="26" spans="1:22" ht="15" customHeight="1" x14ac:dyDescent="0.25">
      <c r="A26" s="6" t="s">
        <v>74</v>
      </c>
      <c r="B26" s="6" t="s">
        <v>44</v>
      </c>
      <c r="C26" s="6">
        <v>7</v>
      </c>
      <c r="D26" s="6" t="s">
        <v>51</v>
      </c>
      <c r="E26" s="7" t="str">
        <f t="shared" si="0"/>
        <v>B</v>
      </c>
      <c r="F26" s="29" t="s">
        <v>36</v>
      </c>
      <c r="G26" s="29" t="s">
        <v>51</v>
      </c>
      <c r="H26" s="29" t="s">
        <v>48</v>
      </c>
      <c r="I26" s="29" t="s">
        <v>39</v>
      </c>
      <c r="J26" s="30" t="s">
        <v>36</v>
      </c>
      <c r="K26" s="30" t="s">
        <v>51</v>
      </c>
      <c r="L26" s="30" t="s">
        <v>48</v>
      </c>
      <c r="M26" s="30" t="s">
        <v>42</v>
      </c>
      <c r="N26" s="31">
        <f t="shared" si="1"/>
        <v>2</v>
      </c>
      <c r="O26" s="31">
        <f t="shared" si="2"/>
        <v>1</v>
      </c>
      <c r="P26" s="31">
        <f t="shared" si="3"/>
        <v>2</v>
      </c>
      <c r="Q26" s="31">
        <f t="shared" si="4"/>
        <v>2</v>
      </c>
      <c r="R26" s="31">
        <f t="shared" si="5"/>
        <v>1</v>
      </c>
      <c r="S26" s="31">
        <f t="shared" si="6"/>
        <v>3</v>
      </c>
      <c r="T26" s="31">
        <f t="shared" si="7"/>
        <v>1</v>
      </c>
      <c r="U26" s="31">
        <f t="shared" si="8"/>
        <v>1</v>
      </c>
      <c r="V26" s="31">
        <f t="shared" si="9"/>
        <v>1</v>
      </c>
    </row>
    <row r="27" spans="1:22" ht="15" customHeight="1" x14ac:dyDescent="0.25">
      <c r="A27" s="6" t="s">
        <v>75</v>
      </c>
      <c r="B27" s="6" t="s">
        <v>44</v>
      </c>
      <c r="C27" s="6">
        <v>8</v>
      </c>
      <c r="D27" s="6" t="s">
        <v>45</v>
      </c>
      <c r="E27" s="7" t="str">
        <f t="shared" si="0"/>
        <v>Inductive</v>
      </c>
      <c r="F27" s="29" t="s">
        <v>36</v>
      </c>
      <c r="G27" s="29" t="s">
        <v>51</v>
      </c>
      <c r="H27" s="29" t="s">
        <v>48</v>
      </c>
      <c r="I27" s="29" t="s">
        <v>39</v>
      </c>
      <c r="J27" s="30" t="s">
        <v>36</v>
      </c>
      <c r="K27" s="30" t="s">
        <v>70</v>
      </c>
      <c r="L27" s="30" t="s">
        <v>41</v>
      </c>
      <c r="M27" s="30" t="s">
        <v>42</v>
      </c>
      <c r="N27" s="31">
        <f t="shared" si="1"/>
        <v>2</v>
      </c>
      <c r="O27" s="31">
        <f t="shared" si="2"/>
        <v>1</v>
      </c>
      <c r="P27" s="31">
        <f t="shared" si="3"/>
        <v>2</v>
      </c>
      <c r="Q27" s="31">
        <f t="shared" si="4"/>
        <v>2</v>
      </c>
      <c r="R27" s="31">
        <f t="shared" si="5"/>
        <v>2</v>
      </c>
      <c r="S27" s="31">
        <f t="shared" si="6"/>
        <v>3</v>
      </c>
      <c r="T27" s="31">
        <f t="shared" si="7"/>
        <v>0</v>
      </c>
      <c r="U27" s="31">
        <f t="shared" si="8"/>
        <v>0</v>
      </c>
      <c r="V27" s="31">
        <f t="shared" si="9"/>
        <v>0</v>
      </c>
    </row>
    <row r="28" spans="1:22" ht="15" customHeight="1" x14ac:dyDescent="0.25">
      <c r="A28" s="6" t="s">
        <v>76</v>
      </c>
      <c r="B28" s="6" t="s">
        <v>34</v>
      </c>
      <c r="C28" s="6">
        <v>8</v>
      </c>
      <c r="D28" s="6" t="s">
        <v>45</v>
      </c>
      <c r="E28" s="7" t="str">
        <f t="shared" si="0"/>
        <v>Inductive</v>
      </c>
      <c r="F28" s="29" t="s">
        <v>40</v>
      </c>
      <c r="G28" s="29" t="s">
        <v>51</v>
      </c>
      <c r="H28" s="29" t="s">
        <v>38</v>
      </c>
      <c r="I28" s="29" t="s">
        <v>42</v>
      </c>
      <c r="J28" s="30" t="s">
        <v>40</v>
      </c>
      <c r="K28" s="30" t="s">
        <v>51</v>
      </c>
      <c r="L28" s="30" t="s">
        <v>41</v>
      </c>
      <c r="M28" s="30" t="s">
        <v>42</v>
      </c>
      <c r="N28" s="31">
        <f t="shared" si="1"/>
        <v>3</v>
      </c>
      <c r="O28" s="31">
        <f t="shared" si="2"/>
        <v>3</v>
      </c>
      <c r="P28" s="31">
        <f t="shared" si="3"/>
        <v>3</v>
      </c>
      <c r="Q28" s="31">
        <f t="shared" si="4"/>
        <v>3</v>
      </c>
      <c r="R28" s="31">
        <f t="shared" si="5"/>
        <v>2</v>
      </c>
      <c r="S28" s="31">
        <f t="shared" si="6"/>
        <v>3</v>
      </c>
      <c r="T28" s="31">
        <f t="shared" si="7"/>
        <v>0</v>
      </c>
      <c r="U28" s="31">
        <f t="shared" si="8"/>
        <v>0</v>
      </c>
      <c r="V28" s="31">
        <f t="shared" si="9"/>
        <v>1</v>
      </c>
    </row>
    <row r="29" spans="1:22" ht="15" customHeight="1" x14ac:dyDescent="0.25">
      <c r="A29" s="6" t="s">
        <v>77</v>
      </c>
      <c r="B29" s="6" t="s">
        <v>44</v>
      </c>
      <c r="C29" s="6">
        <v>0</v>
      </c>
      <c r="D29" s="6" t="s">
        <v>37</v>
      </c>
      <c r="E29" s="7" t="str">
        <f t="shared" si="0"/>
        <v>A</v>
      </c>
      <c r="F29" s="29" t="s">
        <v>36</v>
      </c>
      <c r="G29" s="29" t="s">
        <v>51</v>
      </c>
      <c r="H29" s="29" t="s">
        <v>41</v>
      </c>
      <c r="I29" s="29" t="s">
        <v>39</v>
      </c>
      <c r="J29" s="30" t="s">
        <v>40</v>
      </c>
      <c r="K29" s="30" t="s">
        <v>51</v>
      </c>
      <c r="L29" s="30" t="s">
        <v>41</v>
      </c>
      <c r="M29" s="30" t="s">
        <v>42</v>
      </c>
      <c r="N29" s="31">
        <f t="shared" si="1"/>
        <v>2</v>
      </c>
      <c r="O29" s="31">
        <f t="shared" si="2"/>
        <v>2</v>
      </c>
      <c r="P29" s="31">
        <f t="shared" si="3"/>
        <v>2</v>
      </c>
      <c r="Q29" s="31">
        <f t="shared" si="4"/>
        <v>3</v>
      </c>
      <c r="R29" s="31">
        <f t="shared" si="5"/>
        <v>2</v>
      </c>
      <c r="S29" s="31">
        <f t="shared" si="6"/>
        <v>3</v>
      </c>
      <c r="T29" s="31">
        <f t="shared" si="7"/>
        <v>0</v>
      </c>
      <c r="U29" s="31">
        <f t="shared" si="8"/>
        <v>0</v>
      </c>
      <c r="V29" s="31">
        <f t="shared" si="9"/>
        <v>1</v>
      </c>
    </row>
    <row r="30" spans="1:22" ht="15" customHeight="1" x14ac:dyDescent="0.25">
      <c r="A30" s="6" t="s">
        <v>78</v>
      </c>
      <c r="B30" s="6" t="s">
        <v>44</v>
      </c>
      <c r="C30" s="6">
        <v>3</v>
      </c>
      <c r="D30" s="6" t="s">
        <v>51</v>
      </c>
      <c r="E30" s="7" t="str">
        <f t="shared" si="0"/>
        <v>B</v>
      </c>
      <c r="F30" s="29" t="s">
        <v>36</v>
      </c>
      <c r="G30" s="29" t="s">
        <v>51</v>
      </c>
      <c r="H30" s="29" t="s">
        <v>41</v>
      </c>
      <c r="I30" s="29" t="s">
        <v>39</v>
      </c>
      <c r="J30" s="30" t="s">
        <v>46</v>
      </c>
      <c r="K30" s="30" t="s">
        <v>37</v>
      </c>
      <c r="L30" s="30" t="s">
        <v>48</v>
      </c>
      <c r="M30" s="30" t="s">
        <v>39</v>
      </c>
      <c r="N30" s="31">
        <f t="shared" si="1"/>
        <v>2</v>
      </c>
      <c r="O30" s="31">
        <f t="shared" si="2"/>
        <v>2</v>
      </c>
      <c r="P30" s="31">
        <f t="shared" si="3"/>
        <v>2</v>
      </c>
      <c r="Q30" s="31">
        <f t="shared" si="4"/>
        <v>1</v>
      </c>
      <c r="R30" s="31">
        <f t="shared" si="5"/>
        <v>1</v>
      </c>
      <c r="S30" s="31">
        <f t="shared" si="6"/>
        <v>2</v>
      </c>
      <c r="T30" s="31">
        <f t="shared" si="7"/>
        <v>1</v>
      </c>
      <c r="U30" s="31">
        <f t="shared" si="8"/>
        <v>0</v>
      </c>
      <c r="V30" s="31">
        <f t="shared" si="9"/>
        <v>0</v>
      </c>
    </row>
    <row r="31" spans="1:22" ht="15" customHeight="1" x14ac:dyDescent="0.25">
      <c r="A31" s="6" t="s">
        <v>79</v>
      </c>
      <c r="B31" s="6" t="s">
        <v>34</v>
      </c>
      <c r="C31" s="6">
        <v>5</v>
      </c>
      <c r="D31" s="6" t="s">
        <v>37</v>
      </c>
      <c r="E31" s="7" t="str">
        <f t="shared" si="0"/>
        <v>A</v>
      </c>
      <c r="F31" s="29" t="s">
        <v>40</v>
      </c>
      <c r="G31" s="29" t="s">
        <v>51</v>
      </c>
      <c r="H31" s="29" t="s">
        <v>38</v>
      </c>
      <c r="I31" s="29" t="s">
        <v>42</v>
      </c>
      <c r="J31" s="30" t="s">
        <v>40</v>
      </c>
      <c r="K31" s="30" t="s">
        <v>51</v>
      </c>
      <c r="L31" s="30" t="s">
        <v>41</v>
      </c>
      <c r="M31" s="30" t="s">
        <v>42</v>
      </c>
      <c r="N31" s="31">
        <f t="shared" si="1"/>
        <v>3</v>
      </c>
      <c r="O31" s="31">
        <f t="shared" si="2"/>
        <v>3</v>
      </c>
      <c r="P31" s="31">
        <f t="shared" si="3"/>
        <v>3</v>
      </c>
      <c r="Q31" s="31">
        <f t="shared" si="4"/>
        <v>3</v>
      </c>
      <c r="R31" s="31">
        <f t="shared" si="5"/>
        <v>2</v>
      </c>
      <c r="S31" s="31">
        <f t="shared" si="6"/>
        <v>3</v>
      </c>
      <c r="T31" s="31">
        <f t="shared" si="7"/>
        <v>0</v>
      </c>
      <c r="U31" s="31">
        <f t="shared" si="8"/>
        <v>0</v>
      </c>
      <c r="V31" s="31">
        <f t="shared" si="9"/>
        <v>1</v>
      </c>
    </row>
    <row r="33" spans="1:1" ht="15" customHeight="1" x14ac:dyDescent="0.25">
      <c r="A33" s="8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opLeftCell="A19" zoomScaleNormal="100" workbookViewId="0">
      <selection activeCell="D25" sqref="D25"/>
    </sheetView>
  </sheetViews>
  <sheetFormatPr defaultColWidth="8.7109375" defaultRowHeight="15" x14ac:dyDescent="0.25"/>
  <cols>
    <col min="1" max="1" width="24.28515625" customWidth="1"/>
    <col min="2" max="7" width="12" customWidth="1"/>
  </cols>
  <sheetData>
    <row r="1" spans="1:7" ht="15" customHeight="1" x14ac:dyDescent="0.25">
      <c r="A1" s="9" t="s">
        <v>80</v>
      </c>
    </row>
    <row r="2" spans="1:7" ht="15" customHeight="1" x14ac:dyDescent="0.25">
      <c r="A2" s="5" t="s">
        <v>81</v>
      </c>
      <c r="B2" s="5" t="s">
        <v>46</v>
      </c>
      <c r="C2" s="5" t="s">
        <v>36</v>
      </c>
      <c r="D2" s="5" t="s">
        <v>40</v>
      </c>
      <c r="E2" s="5" t="s">
        <v>82</v>
      </c>
    </row>
    <row r="3" spans="1:7" ht="15" customHeight="1" x14ac:dyDescent="0.25">
      <c r="A3" s="10" t="s">
        <v>46</v>
      </c>
      <c r="B3" s="11">
        <f>COUNTIFS('Raw ratings'!$F$2:$F$31,"Low",'Raw ratings'!$J$2:$J$31,"Low")</f>
        <v>1</v>
      </c>
      <c r="C3" s="11">
        <f>COUNTIFS('Raw ratings'!$F$2:$F$31,"Low",'Raw ratings'!$J$2:$J$31,"Medium")</f>
        <v>4</v>
      </c>
      <c r="D3" s="11">
        <f>COUNTIFS('Raw ratings'!$F$2:$F$31,"Low",'Raw ratings'!$J$2:$J$31,"High")</f>
        <v>1</v>
      </c>
      <c r="E3" s="12">
        <f>SUM(B3:D3)</f>
        <v>6</v>
      </c>
    </row>
    <row r="4" spans="1:7" ht="15" customHeight="1" x14ac:dyDescent="0.25">
      <c r="A4" s="10" t="s">
        <v>36</v>
      </c>
      <c r="B4" s="11">
        <f>COUNTIFS('Raw ratings'!$F$2:$F$31,"Medium",'Raw ratings'!$J$2:$J$31,"Low")</f>
        <v>2</v>
      </c>
      <c r="C4" s="11">
        <f>COUNTIFS('Raw ratings'!$F$2:$F$31,"Medium",'Raw ratings'!$J$2:$J$31,"Medium")</f>
        <v>8</v>
      </c>
      <c r="D4" s="11">
        <f>COUNTIFS('Raw ratings'!$F$2:$F$31,"Medium",'Raw ratings'!$J$2:$J$31,"High")</f>
        <v>7</v>
      </c>
      <c r="E4" s="12">
        <f>SUM(B4:D4)</f>
        <v>17</v>
      </c>
    </row>
    <row r="5" spans="1:7" ht="15" customHeight="1" x14ac:dyDescent="0.25">
      <c r="A5" s="10" t="s">
        <v>40</v>
      </c>
      <c r="B5" s="11">
        <f>COUNTIFS('Raw ratings'!$F$2:$F$31,"High",'Raw ratings'!$J$2:$J$31,"Low")</f>
        <v>0</v>
      </c>
      <c r="C5" s="11">
        <f>COUNTIFS('Raw ratings'!$F$2:$F$31,"High",'Raw ratings'!$J$2:$J$31,"Medium")</f>
        <v>1</v>
      </c>
      <c r="D5" s="11">
        <f>COUNTIFS('Raw ratings'!$F$2:$F$31,"High",'Raw ratings'!$J$2:$J$31,"High")</f>
        <v>6</v>
      </c>
      <c r="E5" s="12">
        <f>SUM(B5:D5)</f>
        <v>7</v>
      </c>
    </row>
    <row r="6" spans="1:7" ht="15" customHeight="1" x14ac:dyDescent="0.25">
      <c r="A6" s="10" t="s">
        <v>83</v>
      </c>
      <c r="B6" s="12">
        <f>SUM(B3:B5)</f>
        <v>3</v>
      </c>
      <c r="C6" s="12">
        <f>SUM(C3:C5)</f>
        <v>13</v>
      </c>
      <c r="D6" s="12">
        <f>SUM(D3:D5)</f>
        <v>14</v>
      </c>
      <c r="E6" s="12">
        <f>SUM(B6:D6)</f>
        <v>30</v>
      </c>
    </row>
    <row r="8" spans="1:7" ht="15" customHeight="1" x14ac:dyDescent="0.25">
      <c r="A8" s="13" t="s">
        <v>84</v>
      </c>
      <c r="B8" s="14">
        <f>(B3+C4+D5)/E6</f>
        <v>0.5</v>
      </c>
    </row>
    <row r="9" spans="1:7" ht="15" customHeight="1" x14ac:dyDescent="0.25">
      <c r="A9" s="13" t="s">
        <v>85</v>
      </c>
      <c r="B9" s="14">
        <f>(E3*B6+E4*C6+E5*D6)/(E6^2)</f>
        <v>0.37444444444444447</v>
      </c>
    </row>
    <row r="10" spans="1:7" ht="15" customHeight="1" x14ac:dyDescent="0.25">
      <c r="A10" s="13" t="s">
        <v>86</v>
      </c>
      <c r="B10" s="15">
        <f>(B8-B9)/(1-B9)</f>
        <v>0.20071047957371221</v>
      </c>
    </row>
    <row r="11" spans="1:7" ht="15" customHeight="1" x14ac:dyDescent="0.25">
      <c r="A11" s="13" t="s">
        <v>87</v>
      </c>
      <c r="B11" s="16">
        <f>B8</f>
        <v>0.5</v>
      </c>
    </row>
    <row r="13" spans="1:7" ht="15" customHeight="1" x14ac:dyDescent="0.25">
      <c r="A13" s="9" t="s">
        <v>88</v>
      </c>
    </row>
    <row r="14" spans="1:7" ht="15" customHeight="1" x14ac:dyDescent="0.25">
      <c r="A14" s="5" t="s">
        <v>81</v>
      </c>
      <c r="B14" s="5" t="s">
        <v>37</v>
      </c>
      <c r="C14" s="5" t="s">
        <v>51</v>
      </c>
      <c r="D14" s="5" t="s">
        <v>70</v>
      </c>
      <c r="E14" s="5" t="s">
        <v>35</v>
      </c>
      <c r="F14" s="5" t="s">
        <v>47</v>
      </c>
      <c r="G14" s="5" t="s">
        <v>82</v>
      </c>
    </row>
    <row r="15" spans="1:7" ht="15" customHeight="1" x14ac:dyDescent="0.25">
      <c r="A15" s="10" t="s">
        <v>37</v>
      </c>
      <c r="B15" s="11">
        <f>COUNTIFS('Raw ratings'!$G$2:$G$31,"A",'Raw ratings'!$K$2:$K$31,"A")</f>
        <v>1</v>
      </c>
      <c r="C15" s="11">
        <f>COUNTIFS('Raw ratings'!$G$2:$G$31,"A",'Raw ratings'!$K$2:$K$31,"B")</f>
        <v>0</v>
      </c>
      <c r="D15" s="11">
        <f>COUNTIFS('Raw ratings'!$G$2:$G$31,"A",'Raw ratings'!$K$2:$K$31,"C")</f>
        <v>0</v>
      </c>
      <c r="E15" s="11">
        <f>COUNTIFS('Raw ratings'!$G$2:$G$31,"A",'Raw ratings'!$K$2:$K$31,"D")</f>
        <v>0</v>
      </c>
      <c r="F15" s="11">
        <f>COUNTIFS('Raw ratings'!$G$2:$G$31,"A",'Raw ratings'!$K$2:$K$31,"Inductive")</f>
        <v>0</v>
      </c>
      <c r="G15" s="12">
        <f t="shared" ref="G15:G20" si="0">SUM(B15:F15)</f>
        <v>1</v>
      </c>
    </row>
    <row r="16" spans="1:7" ht="15" customHeight="1" x14ac:dyDescent="0.25">
      <c r="A16" s="10" t="s">
        <v>51</v>
      </c>
      <c r="B16" s="11">
        <f>COUNTIFS('Raw ratings'!$G$2:$G$31,"B",'Raw ratings'!$K$2:$K$31,"A")</f>
        <v>1</v>
      </c>
      <c r="C16" s="11">
        <f>COUNTIFS('Raw ratings'!$G$2:$G$31,"B",'Raw ratings'!$K$2:$K$31,"B")</f>
        <v>14</v>
      </c>
      <c r="D16" s="11">
        <f>COUNTIFS('Raw ratings'!$G$2:$G$31,"B",'Raw ratings'!$K$2:$K$31,"C")</f>
        <v>1</v>
      </c>
      <c r="E16" s="11">
        <f>COUNTIFS('Raw ratings'!$G$2:$G$31,"B",'Raw ratings'!$K$2:$K$31,"D")</f>
        <v>2</v>
      </c>
      <c r="F16" s="11">
        <f>COUNTIFS('Raw ratings'!$G$2:$G$31,"B",'Raw ratings'!$K$2:$K$31,"Inductive")</f>
        <v>1</v>
      </c>
      <c r="G16" s="12">
        <f t="shared" si="0"/>
        <v>19</v>
      </c>
    </row>
    <row r="17" spans="1:7" ht="15" customHeight="1" x14ac:dyDescent="0.25">
      <c r="A17" s="10" t="s">
        <v>70</v>
      </c>
      <c r="B17" s="11">
        <f>COUNTIFS('Raw ratings'!$G$2:$G$31,"C",'Raw ratings'!$K$2:$K$31,"A")</f>
        <v>0</v>
      </c>
      <c r="C17" s="11">
        <f>COUNTIFS('Raw ratings'!$G$2:$G$31,"C",'Raw ratings'!$K$2:$K$31,"B")</f>
        <v>0</v>
      </c>
      <c r="D17" s="11">
        <f>COUNTIFS('Raw ratings'!$G$2:$G$31,"C",'Raw ratings'!$K$2:$K$31,"C")</f>
        <v>0</v>
      </c>
      <c r="E17" s="11">
        <f>COUNTIFS('Raw ratings'!$G$2:$G$31,"C",'Raw ratings'!$K$2:$K$31,"D")</f>
        <v>0</v>
      </c>
      <c r="F17" s="11">
        <f>COUNTIFS('Raw ratings'!$G$2:$G$31,"C",'Raw ratings'!$K$2:$K$31,"Inductive")</f>
        <v>0</v>
      </c>
      <c r="G17" s="12">
        <f t="shared" si="0"/>
        <v>0</v>
      </c>
    </row>
    <row r="18" spans="1:7" ht="15" customHeight="1" x14ac:dyDescent="0.25">
      <c r="A18" s="10" t="s">
        <v>35</v>
      </c>
      <c r="B18" s="11">
        <f>COUNTIFS('Raw ratings'!$G$2:$G$31,"D",'Raw ratings'!$K$2:$K$31,"A")</f>
        <v>0</v>
      </c>
      <c r="C18" s="11">
        <f>COUNTIFS('Raw ratings'!$G$2:$G$31,"D",'Raw ratings'!$K$2:$K$31,"B")</f>
        <v>0</v>
      </c>
      <c r="D18" s="11">
        <f>COUNTIFS('Raw ratings'!$G$2:$G$31,"D",'Raw ratings'!$K$2:$K$31,"C")</f>
        <v>0</v>
      </c>
      <c r="E18" s="11">
        <f>COUNTIFS('Raw ratings'!$G$2:$G$31,"D",'Raw ratings'!$K$2:$K$31,"D")</f>
        <v>0</v>
      </c>
      <c r="F18" s="11">
        <f>COUNTIFS('Raw ratings'!$G$2:$G$31,"D",'Raw ratings'!$K$2:$K$31,"Inductive")</f>
        <v>0</v>
      </c>
      <c r="G18" s="12">
        <f t="shared" si="0"/>
        <v>0</v>
      </c>
    </row>
    <row r="19" spans="1:7" ht="15" customHeight="1" x14ac:dyDescent="0.25">
      <c r="A19" s="10" t="s">
        <v>47</v>
      </c>
      <c r="B19" s="11">
        <f>COUNTIFS('Raw ratings'!$G$2:$G$31,"Inductive",'Raw ratings'!$K$2:$K$31,"A")</f>
        <v>1</v>
      </c>
      <c r="C19" s="11">
        <f>COUNTIFS('Raw ratings'!$G$2:$G$31,"Inductive",'Raw ratings'!$K$2:$K$31,"B")</f>
        <v>1</v>
      </c>
      <c r="D19" s="11">
        <f>COUNTIFS('Raw ratings'!$G$2:$G$31,"Inductive",'Raw ratings'!$K$2:$K$31,"C")</f>
        <v>1</v>
      </c>
      <c r="E19" s="11">
        <f>COUNTIFS('Raw ratings'!$G$2:$G$31,"Inductive",'Raw ratings'!$K$2:$K$31,"D")</f>
        <v>6</v>
      </c>
      <c r="F19" s="11">
        <f>COUNTIFS('Raw ratings'!$G$2:$G$31,"Inductive",'Raw ratings'!$K$2:$K$31,"Inductive")</f>
        <v>1</v>
      </c>
      <c r="G19" s="12">
        <f t="shared" si="0"/>
        <v>10</v>
      </c>
    </row>
    <row r="20" spans="1:7" ht="15" customHeight="1" x14ac:dyDescent="0.25">
      <c r="A20" s="10" t="s">
        <v>83</v>
      </c>
      <c r="B20" s="12">
        <f>SUM(B15:B19)</f>
        <v>3</v>
      </c>
      <c r="C20" s="12">
        <f>SUM(C15:C19)</f>
        <v>15</v>
      </c>
      <c r="D20" s="12">
        <f>SUM(D15:D19)</f>
        <v>2</v>
      </c>
      <c r="E20" s="12">
        <f>SUM(E15:E19)</f>
        <v>8</v>
      </c>
      <c r="F20" s="12">
        <f>SUM(F15:F19)</f>
        <v>2</v>
      </c>
      <c r="G20" s="12">
        <f t="shared" si="0"/>
        <v>30</v>
      </c>
    </row>
    <row r="22" spans="1:7" ht="15" customHeight="1" x14ac:dyDescent="0.25">
      <c r="A22" s="13" t="s">
        <v>84</v>
      </c>
      <c r="B22" s="14">
        <f>(B15+C16+D17+E18+F19)/G20</f>
        <v>0.53333333333333333</v>
      </c>
    </row>
    <row r="23" spans="1:7" ht="15" customHeight="1" x14ac:dyDescent="0.25">
      <c r="A23" s="13" t="s">
        <v>85</v>
      </c>
      <c r="B23" s="14">
        <f>(G15*B20+G16*C20+G17*D20+G18*E20+G19*F20)/(G20^2)</f>
        <v>0.34222222222222221</v>
      </c>
    </row>
    <row r="24" spans="1:7" ht="15" customHeight="1" x14ac:dyDescent="0.25">
      <c r="A24" s="13" t="s">
        <v>86</v>
      </c>
      <c r="B24" s="15">
        <f>(B22-B23)/(1-B23)</f>
        <v>0.29054054054054057</v>
      </c>
    </row>
    <row r="25" spans="1:7" ht="15" customHeight="1" x14ac:dyDescent="0.25">
      <c r="A25" s="13" t="s">
        <v>87</v>
      </c>
      <c r="B25" s="16">
        <f>B22</f>
        <v>0.53333333333333333</v>
      </c>
    </row>
    <row r="27" spans="1:7" ht="15" customHeight="1" x14ac:dyDescent="0.25">
      <c r="A27" s="9" t="s">
        <v>89</v>
      </c>
    </row>
    <row r="28" spans="1:7" ht="15" customHeight="1" x14ac:dyDescent="0.25">
      <c r="A28" s="5" t="s">
        <v>81</v>
      </c>
      <c r="B28" s="5" t="s">
        <v>48</v>
      </c>
      <c r="C28" s="5" t="s">
        <v>41</v>
      </c>
      <c r="D28" s="5" t="s">
        <v>38</v>
      </c>
      <c r="E28" s="5" t="s">
        <v>82</v>
      </c>
    </row>
    <row r="29" spans="1:7" ht="15" customHeight="1" x14ac:dyDescent="0.25">
      <c r="A29" s="10" t="s">
        <v>48</v>
      </c>
      <c r="B29" s="11">
        <f>COUNTIFS('Raw ratings'!$H$2:$H$31,"Poor",'Raw ratings'!$L$2:$L$31,"Poor")</f>
        <v>10</v>
      </c>
      <c r="C29" s="11">
        <f>COUNTIFS('Raw ratings'!$H$2:$H$31,"Poor",'Raw ratings'!$L$2:$L$31,"Acceptable")</f>
        <v>1</v>
      </c>
      <c r="D29" s="11">
        <f>COUNTIFS('Raw ratings'!$H$2:$H$31,"Poor",'Raw ratings'!$L$2:$L$31,"Good")</f>
        <v>0</v>
      </c>
      <c r="E29" s="12">
        <f>SUM(B29:D29)</f>
        <v>11</v>
      </c>
    </row>
    <row r="30" spans="1:7" ht="15" customHeight="1" x14ac:dyDescent="0.25">
      <c r="A30" s="10" t="s">
        <v>41</v>
      </c>
      <c r="B30" s="11">
        <f>COUNTIFS('Raw ratings'!$H$2:$H$31,"Acceptable",'Raw ratings'!$L$2:$L$31,"Poor")</f>
        <v>3</v>
      </c>
      <c r="C30" s="11">
        <f>COUNTIFS('Raw ratings'!$H$2:$H$31,"Acceptable",'Raw ratings'!$L$2:$L$31,"Acceptable")</f>
        <v>5</v>
      </c>
      <c r="D30" s="11">
        <f>COUNTIFS('Raw ratings'!$H$2:$H$31,"Acceptable",'Raw ratings'!$L$2:$L$31,"Good")</f>
        <v>0</v>
      </c>
      <c r="E30" s="12">
        <f>SUM(B30:D30)</f>
        <v>8</v>
      </c>
    </row>
    <row r="31" spans="1:7" ht="15" customHeight="1" x14ac:dyDescent="0.25">
      <c r="A31" s="10" t="s">
        <v>38</v>
      </c>
      <c r="B31" s="11">
        <f>COUNTIFS('Raw ratings'!$H$2:$H$31,"Good",'Raw ratings'!$L$2:$L$31,"Poor")</f>
        <v>2</v>
      </c>
      <c r="C31" s="11">
        <f>COUNTIFS('Raw ratings'!$H$2:$H$31,"Good",'Raw ratings'!$L$2:$L$31,"Acceptable")</f>
        <v>6</v>
      </c>
      <c r="D31" s="11">
        <f>COUNTIFS('Raw ratings'!$H$2:$H$31,"Good",'Raw ratings'!$L$2:$L$31,"Good")</f>
        <v>3</v>
      </c>
      <c r="E31" s="12">
        <f>SUM(B31:D31)</f>
        <v>11</v>
      </c>
    </row>
    <row r="32" spans="1:7" ht="15" customHeight="1" x14ac:dyDescent="0.25">
      <c r="A32" s="10" t="s">
        <v>83</v>
      </c>
      <c r="B32" s="12">
        <f>SUM(B29:B31)</f>
        <v>15</v>
      </c>
      <c r="C32" s="12">
        <f>SUM(C29:C31)</f>
        <v>12</v>
      </c>
      <c r="D32" s="12">
        <f>SUM(D29:D31)</f>
        <v>3</v>
      </c>
      <c r="E32" s="12">
        <f>SUM(B32:D32)</f>
        <v>30</v>
      </c>
    </row>
    <row r="34" spans="1:5" ht="15" customHeight="1" x14ac:dyDescent="0.25">
      <c r="A34" s="13" t="s">
        <v>84</v>
      </c>
      <c r="B34" s="14">
        <f>(B29+C30+D31)/E32</f>
        <v>0.6</v>
      </c>
    </row>
    <row r="35" spans="1:5" ht="15" customHeight="1" x14ac:dyDescent="0.25">
      <c r="A35" s="13" t="s">
        <v>85</v>
      </c>
      <c r="B35" s="14">
        <f>(E29*B32+E30*C32+E31*D32)/(E32^2)</f>
        <v>0.32666666666666666</v>
      </c>
    </row>
    <row r="36" spans="1:5" ht="15" customHeight="1" x14ac:dyDescent="0.25">
      <c r="A36" s="13" t="s">
        <v>86</v>
      </c>
      <c r="B36" s="15">
        <f>(B34-B35)/(1-B35)</f>
        <v>0.40594059405940591</v>
      </c>
    </row>
    <row r="37" spans="1:5" ht="15" customHeight="1" x14ac:dyDescent="0.25">
      <c r="A37" s="13" t="s">
        <v>87</v>
      </c>
      <c r="B37" s="16">
        <f>B34</f>
        <v>0.6</v>
      </c>
    </row>
    <row r="39" spans="1:5" ht="15" customHeight="1" x14ac:dyDescent="0.25">
      <c r="A39" s="9" t="s">
        <v>90</v>
      </c>
    </row>
    <row r="40" spans="1:5" ht="15" customHeight="1" x14ac:dyDescent="0.25">
      <c r="A40" s="5" t="s">
        <v>81</v>
      </c>
      <c r="B40" s="5" t="s">
        <v>49</v>
      </c>
      <c r="C40" s="5" t="s">
        <v>39</v>
      </c>
      <c r="D40" s="5" t="s">
        <v>42</v>
      </c>
      <c r="E40" s="5" t="s">
        <v>82</v>
      </c>
    </row>
    <row r="41" spans="1:5" ht="15" customHeight="1" x14ac:dyDescent="0.25">
      <c r="A41" s="10" t="s">
        <v>49</v>
      </c>
      <c r="B41" s="11">
        <f>COUNTIFS('Raw ratings'!$I$2:$I$31,"Artifact",'Raw ratings'!$M$2:$M$31,"Artifact")</f>
        <v>1</v>
      </c>
      <c r="C41" s="11">
        <f>COUNTIFS('Raw ratings'!$I$2:$I$31,"Artifact",'Raw ratings'!$M$2:$M$31,"Mixed")</f>
        <v>1</v>
      </c>
      <c r="D41" s="11">
        <f>COUNTIFS('Raw ratings'!$I$2:$I$31,"Artifact",'Raw ratings'!$M$2:$M$31,"Authentic")</f>
        <v>0</v>
      </c>
      <c r="E41" s="12">
        <f>SUM(B41:D41)</f>
        <v>2</v>
      </c>
    </row>
    <row r="42" spans="1:5" ht="15" customHeight="1" x14ac:dyDescent="0.25">
      <c r="A42" s="10" t="s">
        <v>39</v>
      </c>
      <c r="B42" s="11">
        <f>COUNTIFS('Raw ratings'!$I$2:$I$31,"Mixed",'Raw ratings'!$M$2:$M$31,"Artifact")</f>
        <v>1</v>
      </c>
      <c r="C42" s="11">
        <f>COUNTIFS('Raw ratings'!$I$2:$I$31,"Mixed",'Raw ratings'!$M$2:$M$31,"Mixed")</f>
        <v>4</v>
      </c>
      <c r="D42" s="11">
        <f>COUNTIFS('Raw ratings'!$I$2:$I$31,"Mixed",'Raw ratings'!$M$2:$M$31,"Authentic")</f>
        <v>13</v>
      </c>
      <c r="E42" s="12">
        <f>SUM(B42:D42)</f>
        <v>18</v>
      </c>
    </row>
    <row r="43" spans="1:5" ht="15" customHeight="1" x14ac:dyDescent="0.25">
      <c r="A43" s="10" t="s">
        <v>42</v>
      </c>
      <c r="B43" s="11">
        <f>COUNTIFS('Raw ratings'!$I$2:$I$31,"Authentic",'Raw ratings'!$M$2:$M$31,"Artifact")</f>
        <v>0</v>
      </c>
      <c r="C43" s="11">
        <f>COUNTIFS('Raw ratings'!$I$2:$I$31,"Authentic",'Raw ratings'!$M$2:$M$31,"Mixed")</f>
        <v>0</v>
      </c>
      <c r="D43" s="11">
        <f>COUNTIFS('Raw ratings'!$I$2:$I$31,"Authentic",'Raw ratings'!$M$2:$M$31,"Authentic")</f>
        <v>10</v>
      </c>
      <c r="E43" s="12">
        <f>SUM(B43:D43)</f>
        <v>10</v>
      </c>
    </row>
    <row r="44" spans="1:5" ht="15" customHeight="1" x14ac:dyDescent="0.25">
      <c r="A44" s="10" t="s">
        <v>83</v>
      </c>
      <c r="B44" s="12">
        <f>SUM(B41:B43)</f>
        <v>2</v>
      </c>
      <c r="C44" s="12">
        <f>SUM(C41:C43)</f>
        <v>5</v>
      </c>
      <c r="D44" s="12">
        <f>SUM(D41:D43)</f>
        <v>23</v>
      </c>
      <c r="E44" s="12">
        <f>SUM(B44:D44)</f>
        <v>30</v>
      </c>
    </row>
    <row r="46" spans="1:5" ht="15" customHeight="1" x14ac:dyDescent="0.25">
      <c r="A46" s="13" t="s">
        <v>84</v>
      </c>
      <c r="B46" s="14">
        <f>(B41+C42+D43)/E44</f>
        <v>0.5</v>
      </c>
    </row>
    <row r="47" spans="1:5" ht="15" customHeight="1" x14ac:dyDescent="0.25">
      <c r="A47" s="13" t="s">
        <v>85</v>
      </c>
      <c r="B47" s="14">
        <f>(E41*B44+E42*C44+E43*D44)/(E44^2)</f>
        <v>0.36</v>
      </c>
    </row>
    <row r="48" spans="1:5" ht="15" customHeight="1" x14ac:dyDescent="0.25">
      <c r="A48" s="13" t="s">
        <v>86</v>
      </c>
      <c r="B48" s="15">
        <f>(B46-B47)/(1-B47)</f>
        <v>0.21875000000000003</v>
      </c>
    </row>
    <row r="49" spans="1:2" ht="15" customHeight="1" x14ac:dyDescent="0.25">
      <c r="A49" s="13" t="s">
        <v>87</v>
      </c>
      <c r="B49" s="16">
        <f>B46</f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zoomScaleNormal="100" workbookViewId="0">
      <pane ySplit="1" topLeftCell="A2" activePane="bottomLeft" state="frozen"/>
      <selection pane="bottomLeft" activeCell="K24" sqref="K24"/>
    </sheetView>
  </sheetViews>
  <sheetFormatPr defaultColWidth="8.7109375" defaultRowHeight="15" x14ac:dyDescent="0.25"/>
  <cols>
    <col min="1" max="1" width="9" customWidth="1"/>
    <col min="2" max="6" width="7" customWidth="1"/>
    <col min="7" max="9" width="10" customWidth="1"/>
    <col min="11" max="11" width="41.7109375" customWidth="1"/>
    <col min="12" max="14" width="17" customWidth="1"/>
  </cols>
  <sheetData>
    <row r="1" spans="1:14" ht="15" customHeight="1" x14ac:dyDescent="0.25">
      <c r="A1" s="5" t="s">
        <v>11</v>
      </c>
      <c r="B1" s="5" t="s">
        <v>91</v>
      </c>
      <c r="C1" s="5" t="s">
        <v>12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K1" s="9" t="s">
        <v>98</v>
      </c>
      <c r="L1" s="5" t="s">
        <v>99</v>
      </c>
      <c r="M1" s="5" t="s">
        <v>100</v>
      </c>
      <c r="N1" s="5" t="s">
        <v>101</v>
      </c>
    </row>
    <row r="2" spans="1:14" ht="15" customHeight="1" x14ac:dyDescent="0.25">
      <c r="A2" s="11" t="str">
        <f>'Raw ratings'!A2</f>
        <v>T01</v>
      </c>
      <c r="B2" s="11" t="s">
        <v>102</v>
      </c>
      <c r="C2" s="11" t="str">
        <f>'Raw ratings'!B2</f>
        <v>NMF</v>
      </c>
      <c r="D2" s="11">
        <f>'Raw ratings'!N2</f>
        <v>2</v>
      </c>
      <c r="E2" s="11">
        <f>'Raw ratings'!O2</f>
        <v>3</v>
      </c>
      <c r="F2" s="11">
        <f>'Raw ratings'!P2</f>
        <v>2</v>
      </c>
      <c r="G2" s="17">
        <f t="shared" ref="G2:G33" si="0">COUNTIF($D$2:$D$61,"&lt;"&amp;D2)+(COUNTIF($D$2:$D$61,"="&amp;D2)+1)/2</f>
        <v>24.5</v>
      </c>
      <c r="H2" s="17">
        <f t="shared" ref="H2:H33" si="1">COUNTIF($E$2:$E$61,"&lt;"&amp;E2)+(COUNTIF($E$2:$E$61,"="&amp;E2)+1)/2</f>
        <v>53.5</v>
      </c>
      <c r="I2" s="17">
        <f t="shared" ref="I2:I33" si="2">COUNTIF($F$2:$F$61,"&lt;"&amp;F2)+(COUNTIF($F$2:$F$61,"="&amp;F2)+1)/2</f>
        <v>16</v>
      </c>
      <c r="K2" s="10" t="s">
        <v>103</v>
      </c>
      <c r="L2" s="11">
        <f>COUNTIF($C$2:$C$61,"LDA")</f>
        <v>30</v>
      </c>
      <c r="M2" s="11">
        <f>COUNTIF($C$2:$C$61,"LDA")</f>
        <v>30</v>
      </c>
      <c r="N2" s="11">
        <f>COUNTIF($C$2:$C$61,"LDA")</f>
        <v>30</v>
      </c>
    </row>
    <row r="3" spans="1:14" ht="15" customHeight="1" x14ac:dyDescent="0.25">
      <c r="A3" s="11" t="str">
        <f>'Raw ratings'!A3</f>
        <v>T02</v>
      </c>
      <c r="B3" s="11" t="s">
        <v>102</v>
      </c>
      <c r="C3" s="11" t="str">
        <f>'Raw ratings'!B3</f>
        <v>LDA</v>
      </c>
      <c r="D3" s="11">
        <f>'Raw ratings'!N3</f>
        <v>1</v>
      </c>
      <c r="E3" s="11">
        <f>'Raw ratings'!O3</f>
        <v>1</v>
      </c>
      <c r="F3" s="11">
        <f>'Raw ratings'!P3</f>
        <v>1</v>
      </c>
      <c r="G3" s="17">
        <f t="shared" si="0"/>
        <v>5</v>
      </c>
      <c r="H3" s="17">
        <f t="shared" si="1"/>
        <v>13.5</v>
      </c>
      <c r="I3" s="17">
        <f t="shared" si="2"/>
        <v>2.5</v>
      </c>
      <c r="K3" s="10" t="s">
        <v>104</v>
      </c>
      <c r="L3" s="11">
        <f>COUNTIF($C$2:$C$61,"NMF")</f>
        <v>30</v>
      </c>
      <c r="M3" s="11">
        <f>COUNTIF($C$2:$C$61,"NMF")</f>
        <v>30</v>
      </c>
      <c r="N3" s="11">
        <f>COUNTIF($C$2:$C$61,"NMF")</f>
        <v>30</v>
      </c>
    </row>
    <row r="4" spans="1:14" ht="15" customHeight="1" x14ac:dyDescent="0.25">
      <c r="A4" s="11" t="str">
        <f>'Raw ratings'!A4</f>
        <v>T03</v>
      </c>
      <c r="B4" s="11" t="s">
        <v>102</v>
      </c>
      <c r="C4" s="11" t="str">
        <f>'Raw ratings'!B4</f>
        <v>LDA</v>
      </c>
      <c r="D4" s="11">
        <f>'Raw ratings'!N4</f>
        <v>2</v>
      </c>
      <c r="E4" s="11">
        <f>'Raw ratings'!O4</f>
        <v>2</v>
      </c>
      <c r="F4" s="11">
        <f>'Raw ratings'!P4</f>
        <v>2</v>
      </c>
      <c r="G4" s="17">
        <f t="shared" si="0"/>
        <v>24.5</v>
      </c>
      <c r="H4" s="17">
        <f t="shared" si="1"/>
        <v>36.5</v>
      </c>
      <c r="I4" s="17">
        <f t="shared" si="2"/>
        <v>16</v>
      </c>
      <c r="K4" s="10" t="s">
        <v>105</v>
      </c>
      <c r="L4" s="11">
        <f>L2+L3</f>
        <v>60</v>
      </c>
      <c r="M4" s="11">
        <f>M2+M3</f>
        <v>60</v>
      </c>
      <c r="N4" s="11">
        <f>N2+N3</f>
        <v>60</v>
      </c>
    </row>
    <row r="5" spans="1:14" ht="15" customHeight="1" x14ac:dyDescent="0.25">
      <c r="A5" s="11" t="str">
        <f>'Raw ratings'!A5</f>
        <v>T04</v>
      </c>
      <c r="B5" s="11" t="s">
        <v>102</v>
      </c>
      <c r="C5" s="11" t="str">
        <f>'Raw ratings'!B5</f>
        <v>NMF</v>
      </c>
      <c r="D5" s="11">
        <f>'Raw ratings'!N5</f>
        <v>3</v>
      </c>
      <c r="E5" s="11">
        <f>'Raw ratings'!O5</f>
        <v>3</v>
      </c>
      <c r="F5" s="11">
        <f>'Raw ratings'!P5</f>
        <v>3</v>
      </c>
      <c r="G5" s="17">
        <f t="shared" si="0"/>
        <v>50</v>
      </c>
      <c r="H5" s="17">
        <f t="shared" si="1"/>
        <v>53.5</v>
      </c>
      <c r="I5" s="17">
        <f t="shared" si="2"/>
        <v>44</v>
      </c>
      <c r="K5" s="10" t="s">
        <v>106</v>
      </c>
      <c r="L5" s="17">
        <f>SUMIF($C$2:$C$61,"NMF",$G$2:$G$61)</f>
        <v>1129.5</v>
      </c>
      <c r="M5" s="17">
        <f>SUMIF($C$2:$C$61,"NMF",$H$2:$H$61)</f>
        <v>1155</v>
      </c>
      <c r="N5" s="17">
        <f>SUMIF($C$2:$C$61,"NMF",$I$2:$I$61)</f>
        <v>1124</v>
      </c>
    </row>
    <row r="6" spans="1:14" ht="15" customHeight="1" x14ac:dyDescent="0.25">
      <c r="A6" s="11" t="str">
        <f>'Raw ratings'!A6</f>
        <v>T05</v>
      </c>
      <c r="B6" s="11" t="s">
        <v>102</v>
      </c>
      <c r="C6" s="11" t="str">
        <f>'Raw ratings'!B6</f>
        <v>NMF</v>
      </c>
      <c r="D6" s="11">
        <f>'Raw ratings'!N6</f>
        <v>3</v>
      </c>
      <c r="E6" s="11">
        <f>'Raw ratings'!O6</f>
        <v>3</v>
      </c>
      <c r="F6" s="11">
        <f>'Raw ratings'!P6</f>
        <v>3</v>
      </c>
      <c r="G6" s="17">
        <f t="shared" si="0"/>
        <v>50</v>
      </c>
      <c r="H6" s="17">
        <f t="shared" si="1"/>
        <v>53.5</v>
      </c>
      <c r="I6" s="17">
        <f t="shared" si="2"/>
        <v>44</v>
      </c>
      <c r="K6" s="10" t="s">
        <v>107</v>
      </c>
      <c r="L6" s="18">
        <f>L5-L3*(L3+1)/2</f>
        <v>664.5</v>
      </c>
      <c r="M6" s="18">
        <f>M5-M3*(M3+1)/2</f>
        <v>690</v>
      </c>
      <c r="N6" s="18">
        <f>N5-N3*(N3+1)/2</f>
        <v>659</v>
      </c>
    </row>
    <row r="7" spans="1:14" ht="15" customHeight="1" x14ac:dyDescent="0.25">
      <c r="A7" s="11" t="str">
        <f>'Raw ratings'!A7</f>
        <v>T06</v>
      </c>
      <c r="B7" s="11" t="s">
        <v>102</v>
      </c>
      <c r="C7" s="11" t="str">
        <f>'Raw ratings'!B7</f>
        <v>LDA</v>
      </c>
      <c r="D7" s="11">
        <f>'Raw ratings'!N7</f>
        <v>2</v>
      </c>
      <c r="E7" s="11">
        <f>'Raw ratings'!O7</f>
        <v>3</v>
      </c>
      <c r="F7" s="11">
        <f>'Raw ratings'!P7</f>
        <v>2</v>
      </c>
      <c r="G7" s="17">
        <f t="shared" si="0"/>
        <v>24.5</v>
      </c>
      <c r="H7" s="17">
        <f t="shared" si="1"/>
        <v>53.5</v>
      </c>
      <c r="I7" s="17">
        <f t="shared" si="2"/>
        <v>16</v>
      </c>
      <c r="K7" s="10" t="s">
        <v>108</v>
      </c>
      <c r="L7" s="17">
        <f>L2*L3/2</f>
        <v>450</v>
      </c>
      <c r="M7" s="17">
        <f>M2*M3/2</f>
        <v>450</v>
      </c>
      <c r="N7" s="17">
        <f>N2*N3/2</f>
        <v>450</v>
      </c>
    </row>
    <row r="8" spans="1:14" ht="15" customHeight="1" x14ac:dyDescent="0.25">
      <c r="A8" s="11" t="str">
        <f>'Raw ratings'!A8</f>
        <v>T07</v>
      </c>
      <c r="B8" s="11" t="s">
        <v>102</v>
      </c>
      <c r="C8" s="11" t="str">
        <f>'Raw ratings'!B8</f>
        <v>LDA</v>
      </c>
      <c r="D8" s="11">
        <f>'Raw ratings'!N8</f>
        <v>2</v>
      </c>
      <c r="E8" s="11">
        <f>'Raw ratings'!O8</f>
        <v>2</v>
      </c>
      <c r="F8" s="11">
        <f>'Raw ratings'!P8</f>
        <v>2</v>
      </c>
      <c r="G8" s="17">
        <f t="shared" si="0"/>
        <v>24.5</v>
      </c>
      <c r="H8" s="17">
        <f t="shared" si="1"/>
        <v>36.5</v>
      </c>
      <c r="I8" s="17">
        <f t="shared" si="2"/>
        <v>16</v>
      </c>
      <c r="K8" s="10" t="s">
        <v>109</v>
      </c>
      <c r="L8" s="11">
        <f>COUNTIF($D$2:$D$61,1)</f>
        <v>9</v>
      </c>
      <c r="M8" s="11">
        <f>COUNTIF($E$2:$E$61,1)</f>
        <v>26</v>
      </c>
      <c r="N8" s="11">
        <f>COUNTIF($F$2:$F$61,1)</f>
        <v>4</v>
      </c>
    </row>
    <row r="9" spans="1:14" ht="15" customHeight="1" x14ac:dyDescent="0.25">
      <c r="A9" s="11" t="str">
        <f>'Raw ratings'!A9</f>
        <v>T08</v>
      </c>
      <c r="B9" s="11" t="s">
        <v>102</v>
      </c>
      <c r="C9" s="11" t="str">
        <f>'Raw ratings'!B9</f>
        <v>LDA</v>
      </c>
      <c r="D9" s="11">
        <f>'Raw ratings'!N9</f>
        <v>2</v>
      </c>
      <c r="E9" s="11">
        <f>'Raw ratings'!O9</f>
        <v>2</v>
      </c>
      <c r="F9" s="11">
        <f>'Raw ratings'!P9</f>
        <v>3</v>
      </c>
      <c r="G9" s="17">
        <f t="shared" si="0"/>
        <v>24.5</v>
      </c>
      <c r="H9" s="17">
        <f t="shared" si="1"/>
        <v>36.5</v>
      </c>
      <c r="I9" s="17">
        <f t="shared" si="2"/>
        <v>44</v>
      </c>
      <c r="K9" s="10" t="s">
        <v>110</v>
      </c>
      <c r="L9" s="11">
        <f>COUNTIF($D$2:$D$61,2)</f>
        <v>30</v>
      </c>
      <c r="M9" s="11">
        <f>COUNTIF($E$2:$E$61,2)</f>
        <v>20</v>
      </c>
      <c r="N9" s="11">
        <f>COUNTIF($F$2:$F$61,2)</f>
        <v>23</v>
      </c>
    </row>
    <row r="10" spans="1:14" ht="15" customHeight="1" x14ac:dyDescent="0.25">
      <c r="A10" s="11" t="str">
        <f>'Raw ratings'!A10</f>
        <v>T09</v>
      </c>
      <c r="B10" s="11" t="s">
        <v>102</v>
      </c>
      <c r="C10" s="11" t="str">
        <f>'Raw ratings'!B10</f>
        <v>LDA</v>
      </c>
      <c r="D10" s="11">
        <f>'Raw ratings'!N10</f>
        <v>1</v>
      </c>
      <c r="E10" s="11">
        <f>'Raw ratings'!O10</f>
        <v>1</v>
      </c>
      <c r="F10" s="11">
        <f>'Raw ratings'!P10</f>
        <v>2</v>
      </c>
      <c r="G10" s="17">
        <f t="shared" si="0"/>
        <v>5</v>
      </c>
      <c r="H10" s="17">
        <f t="shared" si="1"/>
        <v>13.5</v>
      </c>
      <c r="I10" s="17">
        <f t="shared" si="2"/>
        <v>16</v>
      </c>
      <c r="K10" s="10" t="s">
        <v>111</v>
      </c>
      <c r="L10" s="11">
        <f>COUNTIF($D$2:$D$61,3)</f>
        <v>21</v>
      </c>
      <c r="M10" s="11">
        <f>COUNTIF($E$2:$E$61,3)</f>
        <v>14</v>
      </c>
      <c r="N10" s="11">
        <f>COUNTIF($F$2:$F$61,3)</f>
        <v>33</v>
      </c>
    </row>
    <row r="11" spans="1:14" ht="15" customHeight="1" x14ac:dyDescent="0.25">
      <c r="A11" s="11" t="str">
        <f>'Raw ratings'!A11</f>
        <v>T10</v>
      </c>
      <c r="B11" s="11" t="s">
        <v>102</v>
      </c>
      <c r="C11" s="11" t="str">
        <f>'Raw ratings'!B11</f>
        <v>NMF</v>
      </c>
      <c r="D11" s="11">
        <f>'Raw ratings'!N11</f>
        <v>3</v>
      </c>
      <c r="E11" s="11">
        <f>'Raw ratings'!O11</f>
        <v>3</v>
      </c>
      <c r="F11" s="11">
        <f>'Raw ratings'!P11</f>
        <v>3</v>
      </c>
      <c r="G11" s="17">
        <f t="shared" si="0"/>
        <v>50</v>
      </c>
      <c r="H11" s="17">
        <f t="shared" si="1"/>
        <v>53.5</v>
      </c>
      <c r="I11" s="17">
        <f t="shared" si="2"/>
        <v>44</v>
      </c>
      <c r="K11" s="10" t="s">
        <v>112</v>
      </c>
      <c r="L11" s="11">
        <f>(L8^3-L8)+(L9^3-L9)+(L10^3-L10)</f>
        <v>36930</v>
      </c>
      <c r="M11" s="11">
        <f>(M8^3-M8)+(M9^3-M9)+(M10^3-M10)</f>
        <v>28260</v>
      </c>
      <c r="N11" s="11">
        <f>(N8^3-N8)+(N9^3-N9)+(N10^3-N10)</f>
        <v>48108</v>
      </c>
    </row>
    <row r="12" spans="1:14" ht="15" customHeight="1" x14ac:dyDescent="0.25">
      <c r="A12" s="11" t="str">
        <f>'Raw ratings'!A12</f>
        <v>T11</v>
      </c>
      <c r="B12" s="11" t="s">
        <v>102</v>
      </c>
      <c r="C12" s="11" t="str">
        <f>'Raw ratings'!B12</f>
        <v>LDA</v>
      </c>
      <c r="D12" s="11">
        <f>'Raw ratings'!N12</f>
        <v>1</v>
      </c>
      <c r="E12" s="11">
        <f>'Raw ratings'!O12</f>
        <v>1</v>
      </c>
      <c r="F12" s="11">
        <f>'Raw ratings'!P12</f>
        <v>1</v>
      </c>
      <c r="G12" s="17">
        <f t="shared" si="0"/>
        <v>5</v>
      </c>
      <c r="H12" s="17">
        <f t="shared" si="1"/>
        <v>13.5</v>
      </c>
      <c r="I12" s="17">
        <f t="shared" si="2"/>
        <v>2.5</v>
      </c>
      <c r="K12" s="10" t="s">
        <v>113</v>
      </c>
      <c r="L12" s="19">
        <f>(L2*L3/12)*((L4+1)-L11/(L4*(L4-1)))</f>
        <v>3792.5847457627119</v>
      </c>
      <c r="M12" s="19">
        <f>(M2*M3/12)*((M4+1)-M11/(M4*(M4-1)))</f>
        <v>3976.2711864406779</v>
      </c>
      <c r="N12" s="19">
        <f>(N2*N3/12)*((N4+1)-N11/(N4*(N4-1)))</f>
        <v>3555.7627118644068</v>
      </c>
    </row>
    <row r="13" spans="1:14" ht="15" customHeight="1" x14ac:dyDescent="0.25">
      <c r="A13" s="11" t="str">
        <f>'Raw ratings'!A13</f>
        <v>T12</v>
      </c>
      <c r="B13" s="11" t="s">
        <v>102</v>
      </c>
      <c r="C13" s="11" t="str">
        <f>'Raw ratings'!B13</f>
        <v>NMF</v>
      </c>
      <c r="D13" s="11">
        <f>'Raw ratings'!N13</f>
        <v>3</v>
      </c>
      <c r="E13" s="11">
        <f>'Raw ratings'!O13</f>
        <v>3</v>
      </c>
      <c r="F13" s="11">
        <f>'Raw ratings'!P13</f>
        <v>3</v>
      </c>
      <c r="G13" s="17">
        <f t="shared" si="0"/>
        <v>50</v>
      </c>
      <c r="H13" s="17">
        <f t="shared" si="1"/>
        <v>53.5</v>
      </c>
      <c r="I13" s="17">
        <f t="shared" si="2"/>
        <v>44</v>
      </c>
      <c r="K13" s="10" t="s">
        <v>114</v>
      </c>
      <c r="L13" s="14">
        <f>(L6-L7-0.5)/SQRT(L12)</f>
        <v>3.4749305274823046</v>
      </c>
      <c r="M13" s="14">
        <f>(M6-M7-0.5)/SQRT(M12)</f>
        <v>3.7981098352398406</v>
      </c>
      <c r="N13" s="14">
        <f>(N6-N7-0.5)/SQRT(N12)</f>
        <v>3.49654944207257</v>
      </c>
    </row>
    <row r="14" spans="1:14" ht="15" customHeight="1" x14ac:dyDescent="0.25">
      <c r="A14" s="11" t="str">
        <f>'Raw ratings'!A14</f>
        <v>T13</v>
      </c>
      <c r="B14" s="11" t="s">
        <v>102</v>
      </c>
      <c r="C14" s="11" t="str">
        <f>'Raw ratings'!B14</f>
        <v>NMF</v>
      </c>
      <c r="D14" s="11">
        <f>'Raw ratings'!N14</f>
        <v>1</v>
      </c>
      <c r="E14" s="11">
        <f>'Raw ratings'!O14</f>
        <v>1</v>
      </c>
      <c r="F14" s="11">
        <f>'Raw ratings'!P14</f>
        <v>2</v>
      </c>
      <c r="G14" s="17">
        <f t="shared" si="0"/>
        <v>5</v>
      </c>
      <c r="H14" s="17">
        <f t="shared" si="1"/>
        <v>13.5</v>
      </c>
      <c r="I14" s="17">
        <f t="shared" si="2"/>
        <v>16</v>
      </c>
      <c r="K14" s="10" t="s">
        <v>115</v>
      </c>
      <c r="L14" s="20">
        <f>1-NORMSDIST(L13)</f>
        <v>2.5549283421533175E-4</v>
      </c>
      <c r="M14" s="20">
        <f>1-NORMSDIST(M13)</f>
        <v>7.2901857925411484E-5</v>
      </c>
      <c r="N14" s="20">
        <f>1-NORMSDIST(N13)</f>
        <v>2.3565857193319495E-4</v>
      </c>
    </row>
    <row r="15" spans="1:14" ht="15" customHeight="1" x14ac:dyDescent="0.25">
      <c r="A15" s="11" t="str">
        <f>'Raw ratings'!A15</f>
        <v>T14</v>
      </c>
      <c r="B15" s="11" t="s">
        <v>102</v>
      </c>
      <c r="C15" s="11" t="str">
        <f>'Raw ratings'!B15</f>
        <v>NMF</v>
      </c>
      <c r="D15" s="11">
        <f>'Raw ratings'!N15</f>
        <v>1</v>
      </c>
      <c r="E15" s="11">
        <f>'Raw ratings'!O15</f>
        <v>1</v>
      </c>
      <c r="F15" s="11">
        <f>'Raw ratings'!P15</f>
        <v>3</v>
      </c>
      <c r="G15" s="17">
        <f t="shared" si="0"/>
        <v>5</v>
      </c>
      <c r="H15" s="17">
        <f t="shared" si="1"/>
        <v>13.5</v>
      </c>
      <c r="I15" s="17">
        <f t="shared" si="2"/>
        <v>44</v>
      </c>
      <c r="K15" s="10" t="s">
        <v>116</v>
      </c>
      <c r="L15" s="21">
        <f>AVERAGEIF($C$2:$C$61,"LDA",$D$2:$D$61)</f>
        <v>1.9</v>
      </c>
      <c r="M15" s="21">
        <f>AVERAGEIF($C$2:$C$61,"LDA",$E$2:$E$61)</f>
        <v>1.4</v>
      </c>
      <c r="N15" s="21">
        <f>AVERAGEIF($C$2:$C$61,"LDA",$F$2:$F$61)</f>
        <v>2.2000000000000002</v>
      </c>
    </row>
    <row r="16" spans="1:14" ht="15" customHeight="1" x14ac:dyDescent="0.25">
      <c r="A16" s="11" t="str">
        <f>'Raw ratings'!A16</f>
        <v>T15</v>
      </c>
      <c r="B16" s="11" t="s">
        <v>102</v>
      </c>
      <c r="C16" s="11" t="str">
        <f>'Raw ratings'!B16</f>
        <v>NMF</v>
      </c>
      <c r="D16" s="11">
        <f>'Raw ratings'!N16</f>
        <v>2</v>
      </c>
      <c r="E16" s="11">
        <f>'Raw ratings'!O16</f>
        <v>1</v>
      </c>
      <c r="F16" s="11">
        <f>'Raw ratings'!P16</f>
        <v>2</v>
      </c>
      <c r="G16" s="17">
        <f t="shared" si="0"/>
        <v>24.5</v>
      </c>
      <c r="H16" s="17">
        <f t="shared" si="1"/>
        <v>13.5</v>
      </c>
      <c r="I16" s="17">
        <f t="shared" si="2"/>
        <v>16</v>
      </c>
      <c r="K16" s="10" t="s">
        <v>117</v>
      </c>
      <c r="L16" s="21">
        <f>AVERAGEIF($C$2:$C$61,"NMF",$D$2:$D$61)</f>
        <v>2.5</v>
      </c>
      <c r="M16" s="21">
        <f>AVERAGEIF($C$2:$C$61,"NMF",$E$2:$E$61)</f>
        <v>2.2000000000000002</v>
      </c>
      <c r="N16" s="21">
        <f>AVERAGEIF($C$2:$C$61,"NMF",$F$2:$F$61)</f>
        <v>2.7666666666666666</v>
      </c>
    </row>
    <row r="17" spans="1:9" ht="15" customHeight="1" x14ac:dyDescent="0.25">
      <c r="A17" s="11" t="str">
        <f>'Raw ratings'!A17</f>
        <v>T16</v>
      </c>
      <c r="B17" s="11" t="s">
        <v>102</v>
      </c>
      <c r="C17" s="11" t="str">
        <f>'Raw ratings'!B17</f>
        <v>NMF</v>
      </c>
      <c r="D17" s="11">
        <f>'Raw ratings'!N17</f>
        <v>2</v>
      </c>
      <c r="E17" s="11">
        <f>'Raw ratings'!O17</f>
        <v>3</v>
      </c>
      <c r="F17" s="11">
        <f>'Raw ratings'!P17</f>
        <v>2</v>
      </c>
      <c r="G17" s="17">
        <f t="shared" si="0"/>
        <v>24.5</v>
      </c>
      <c r="H17" s="17">
        <f t="shared" si="1"/>
        <v>53.5</v>
      </c>
      <c r="I17" s="17">
        <f t="shared" si="2"/>
        <v>16</v>
      </c>
    </row>
    <row r="18" spans="1:9" ht="15" customHeight="1" x14ac:dyDescent="0.25">
      <c r="A18" s="11" t="str">
        <f>'Raw ratings'!A18</f>
        <v>T17</v>
      </c>
      <c r="B18" s="11" t="s">
        <v>102</v>
      </c>
      <c r="C18" s="11" t="str">
        <f>'Raw ratings'!B18</f>
        <v>LDA</v>
      </c>
      <c r="D18" s="11">
        <f>'Raw ratings'!N18</f>
        <v>1</v>
      </c>
      <c r="E18" s="11">
        <f>'Raw ratings'!O18</f>
        <v>1</v>
      </c>
      <c r="F18" s="11">
        <f>'Raw ratings'!P18</f>
        <v>2</v>
      </c>
      <c r="G18" s="17">
        <f t="shared" si="0"/>
        <v>5</v>
      </c>
      <c r="H18" s="17">
        <f t="shared" si="1"/>
        <v>13.5</v>
      </c>
      <c r="I18" s="17">
        <f t="shared" si="2"/>
        <v>16</v>
      </c>
    </row>
    <row r="19" spans="1:9" ht="15" customHeight="1" x14ac:dyDescent="0.25">
      <c r="A19" s="11" t="str">
        <f>'Raw ratings'!A19</f>
        <v>T18</v>
      </c>
      <c r="B19" s="11" t="s">
        <v>102</v>
      </c>
      <c r="C19" s="11" t="str">
        <f>'Raw ratings'!B19</f>
        <v>LDA</v>
      </c>
      <c r="D19" s="11">
        <f>'Raw ratings'!N19</f>
        <v>2</v>
      </c>
      <c r="E19" s="11">
        <f>'Raw ratings'!O19</f>
        <v>2</v>
      </c>
      <c r="F19" s="11">
        <f>'Raw ratings'!P19</f>
        <v>2</v>
      </c>
      <c r="G19" s="17">
        <f t="shared" si="0"/>
        <v>24.5</v>
      </c>
      <c r="H19" s="17">
        <f t="shared" si="1"/>
        <v>36.5</v>
      </c>
      <c r="I19" s="17">
        <f t="shared" si="2"/>
        <v>16</v>
      </c>
    </row>
    <row r="20" spans="1:9" ht="15" customHeight="1" x14ac:dyDescent="0.25">
      <c r="A20" s="11" t="str">
        <f>'Raw ratings'!A20</f>
        <v>T19</v>
      </c>
      <c r="B20" s="11" t="s">
        <v>102</v>
      </c>
      <c r="C20" s="11" t="str">
        <f>'Raw ratings'!B20</f>
        <v>NMF</v>
      </c>
      <c r="D20" s="11">
        <f>'Raw ratings'!N20</f>
        <v>3</v>
      </c>
      <c r="E20" s="11">
        <f>'Raw ratings'!O20</f>
        <v>3</v>
      </c>
      <c r="F20" s="11">
        <f>'Raw ratings'!P20</f>
        <v>3</v>
      </c>
      <c r="G20" s="17">
        <f t="shared" si="0"/>
        <v>50</v>
      </c>
      <c r="H20" s="17">
        <f t="shared" si="1"/>
        <v>53.5</v>
      </c>
      <c r="I20" s="17">
        <f t="shared" si="2"/>
        <v>44</v>
      </c>
    </row>
    <row r="21" spans="1:9" ht="15" customHeight="1" x14ac:dyDescent="0.25">
      <c r="A21" s="11" t="str">
        <f>'Raw ratings'!A21</f>
        <v>T20</v>
      </c>
      <c r="B21" s="11" t="s">
        <v>102</v>
      </c>
      <c r="C21" s="11" t="str">
        <f>'Raw ratings'!B21</f>
        <v>LDA</v>
      </c>
      <c r="D21" s="11">
        <f>'Raw ratings'!N21</f>
        <v>2</v>
      </c>
      <c r="E21" s="11">
        <f>'Raw ratings'!O21</f>
        <v>1</v>
      </c>
      <c r="F21" s="11">
        <f>'Raw ratings'!P21</f>
        <v>2</v>
      </c>
      <c r="G21" s="17">
        <f t="shared" si="0"/>
        <v>24.5</v>
      </c>
      <c r="H21" s="17">
        <f t="shared" si="1"/>
        <v>13.5</v>
      </c>
      <c r="I21" s="17">
        <f t="shared" si="2"/>
        <v>16</v>
      </c>
    </row>
    <row r="22" spans="1:9" ht="15" customHeight="1" x14ac:dyDescent="0.25">
      <c r="A22" s="11" t="str">
        <f>'Raw ratings'!A22</f>
        <v>T21</v>
      </c>
      <c r="B22" s="11" t="s">
        <v>102</v>
      </c>
      <c r="C22" s="11" t="str">
        <f>'Raw ratings'!B22</f>
        <v>NMF</v>
      </c>
      <c r="D22" s="11">
        <f>'Raw ratings'!N22</f>
        <v>2</v>
      </c>
      <c r="E22" s="11">
        <f>'Raw ratings'!O22</f>
        <v>3</v>
      </c>
      <c r="F22" s="11">
        <f>'Raw ratings'!P22</f>
        <v>3</v>
      </c>
      <c r="G22" s="17">
        <f t="shared" si="0"/>
        <v>24.5</v>
      </c>
      <c r="H22" s="17">
        <f t="shared" si="1"/>
        <v>53.5</v>
      </c>
      <c r="I22" s="17">
        <f t="shared" si="2"/>
        <v>44</v>
      </c>
    </row>
    <row r="23" spans="1:9" ht="15" customHeight="1" x14ac:dyDescent="0.25">
      <c r="A23" s="11" t="str">
        <f>'Raw ratings'!A23</f>
        <v>T22</v>
      </c>
      <c r="B23" s="11" t="s">
        <v>102</v>
      </c>
      <c r="C23" s="11" t="str">
        <f>'Raw ratings'!B23</f>
        <v>NMF</v>
      </c>
      <c r="D23" s="11">
        <f>'Raw ratings'!N23</f>
        <v>2</v>
      </c>
      <c r="E23" s="11">
        <f>'Raw ratings'!O23</f>
        <v>2</v>
      </c>
      <c r="F23" s="11">
        <f>'Raw ratings'!P23</f>
        <v>2</v>
      </c>
      <c r="G23" s="17">
        <f t="shared" si="0"/>
        <v>24.5</v>
      </c>
      <c r="H23" s="17">
        <f t="shared" si="1"/>
        <v>36.5</v>
      </c>
      <c r="I23" s="17">
        <f t="shared" si="2"/>
        <v>16</v>
      </c>
    </row>
    <row r="24" spans="1:9" ht="15" customHeight="1" x14ac:dyDescent="0.25">
      <c r="A24" s="11" t="str">
        <f>'Raw ratings'!A24</f>
        <v>T23</v>
      </c>
      <c r="B24" s="11" t="s">
        <v>102</v>
      </c>
      <c r="C24" s="11" t="str">
        <f>'Raw ratings'!B24</f>
        <v>LDA</v>
      </c>
      <c r="D24" s="11">
        <f>'Raw ratings'!N24</f>
        <v>2</v>
      </c>
      <c r="E24" s="11">
        <f>'Raw ratings'!O24</f>
        <v>1</v>
      </c>
      <c r="F24" s="11">
        <f>'Raw ratings'!P24</f>
        <v>2</v>
      </c>
      <c r="G24" s="17">
        <f t="shared" si="0"/>
        <v>24.5</v>
      </c>
      <c r="H24" s="17">
        <f t="shared" si="1"/>
        <v>13.5</v>
      </c>
      <c r="I24" s="17">
        <f t="shared" si="2"/>
        <v>16</v>
      </c>
    </row>
    <row r="25" spans="1:9" ht="15" customHeight="1" x14ac:dyDescent="0.25">
      <c r="A25" s="11" t="str">
        <f>'Raw ratings'!A25</f>
        <v>T24</v>
      </c>
      <c r="B25" s="11" t="s">
        <v>102</v>
      </c>
      <c r="C25" s="11" t="str">
        <f>'Raw ratings'!B25</f>
        <v>NMF</v>
      </c>
      <c r="D25" s="11">
        <f>'Raw ratings'!N25</f>
        <v>2</v>
      </c>
      <c r="E25" s="11">
        <f>'Raw ratings'!O25</f>
        <v>2</v>
      </c>
      <c r="F25" s="11">
        <f>'Raw ratings'!P25</f>
        <v>2</v>
      </c>
      <c r="G25" s="17">
        <f t="shared" si="0"/>
        <v>24.5</v>
      </c>
      <c r="H25" s="17">
        <f t="shared" si="1"/>
        <v>36.5</v>
      </c>
      <c r="I25" s="17">
        <f t="shared" si="2"/>
        <v>16</v>
      </c>
    </row>
    <row r="26" spans="1:9" ht="15" customHeight="1" x14ac:dyDescent="0.25">
      <c r="A26" s="11" t="str">
        <f>'Raw ratings'!A26</f>
        <v>T25</v>
      </c>
      <c r="B26" s="11" t="s">
        <v>102</v>
      </c>
      <c r="C26" s="11" t="str">
        <f>'Raw ratings'!B26</f>
        <v>LDA</v>
      </c>
      <c r="D26" s="11">
        <f>'Raw ratings'!N26</f>
        <v>2</v>
      </c>
      <c r="E26" s="11">
        <f>'Raw ratings'!O26</f>
        <v>1</v>
      </c>
      <c r="F26" s="11">
        <f>'Raw ratings'!P26</f>
        <v>2</v>
      </c>
      <c r="G26" s="17">
        <f t="shared" si="0"/>
        <v>24.5</v>
      </c>
      <c r="H26" s="17">
        <f t="shared" si="1"/>
        <v>13.5</v>
      </c>
      <c r="I26" s="17">
        <f t="shared" si="2"/>
        <v>16</v>
      </c>
    </row>
    <row r="27" spans="1:9" ht="15" customHeight="1" x14ac:dyDescent="0.25">
      <c r="A27" s="11" t="str">
        <f>'Raw ratings'!A27</f>
        <v>T26</v>
      </c>
      <c r="B27" s="11" t="s">
        <v>102</v>
      </c>
      <c r="C27" s="11" t="str">
        <f>'Raw ratings'!B27</f>
        <v>LDA</v>
      </c>
      <c r="D27" s="11">
        <f>'Raw ratings'!N27</f>
        <v>2</v>
      </c>
      <c r="E27" s="11">
        <f>'Raw ratings'!O27</f>
        <v>1</v>
      </c>
      <c r="F27" s="11">
        <f>'Raw ratings'!P27</f>
        <v>2</v>
      </c>
      <c r="G27" s="17">
        <f t="shared" si="0"/>
        <v>24.5</v>
      </c>
      <c r="H27" s="17">
        <f t="shared" si="1"/>
        <v>13.5</v>
      </c>
      <c r="I27" s="17">
        <f t="shared" si="2"/>
        <v>16</v>
      </c>
    </row>
    <row r="28" spans="1:9" ht="15" customHeight="1" x14ac:dyDescent="0.25">
      <c r="A28" s="11" t="str">
        <f>'Raw ratings'!A28</f>
        <v>T27</v>
      </c>
      <c r="B28" s="11" t="s">
        <v>102</v>
      </c>
      <c r="C28" s="11" t="str">
        <f>'Raw ratings'!B28</f>
        <v>NMF</v>
      </c>
      <c r="D28" s="11">
        <f>'Raw ratings'!N28</f>
        <v>3</v>
      </c>
      <c r="E28" s="11">
        <f>'Raw ratings'!O28</f>
        <v>3</v>
      </c>
      <c r="F28" s="11">
        <f>'Raw ratings'!P28</f>
        <v>3</v>
      </c>
      <c r="G28" s="17">
        <f t="shared" si="0"/>
        <v>50</v>
      </c>
      <c r="H28" s="17">
        <f t="shared" si="1"/>
        <v>53.5</v>
      </c>
      <c r="I28" s="17">
        <f t="shared" si="2"/>
        <v>44</v>
      </c>
    </row>
    <row r="29" spans="1:9" ht="15" customHeight="1" x14ac:dyDescent="0.25">
      <c r="A29" s="11" t="str">
        <f>'Raw ratings'!A29</f>
        <v>T28</v>
      </c>
      <c r="B29" s="11" t="s">
        <v>102</v>
      </c>
      <c r="C29" s="11" t="str">
        <f>'Raw ratings'!B29</f>
        <v>LDA</v>
      </c>
      <c r="D29" s="11">
        <f>'Raw ratings'!N29</f>
        <v>2</v>
      </c>
      <c r="E29" s="11">
        <f>'Raw ratings'!O29</f>
        <v>2</v>
      </c>
      <c r="F29" s="11">
        <f>'Raw ratings'!P29</f>
        <v>2</v>
      </c>
      <c r="G29" s="17">
        <f t="shared" si="0"/>
        <v>24.5</v>
      </c>
      <c r="H29" s="17">
        <f t="shared" si="1"/>
        <v>36.5</v>
      </c>
      <c r="I29" s="17">
        <f t="shared" si="2"/>
        <v>16</v>
      </c>
    </row>
    <row r="30" spans="1:9" ht="15" customHeight="1" x14ac:dyDescent="0.25">
      <c r="A30" s="11" t="str">
        <f>'Raw ratings'!A30</f>
        <v>T29</v>
      </c>
      <c r="B30" s="11" t="s">
        <v>102</v>
      </c>
      <c r="C30" s="11" t="str">
        <f>'Raw ratings'!B30</f>
        <v>LDA</v>
      </c>
      <c r="D30" s="11">
        <f>'Raw ratings'!N30</f>
        <v>2</v>
      </c>
      <c r="E30" s="11">
        <f>'Raw ratings'!O30</f>
        <v>2</v>
      </c>
      <c r="F30" s="11">
        <f>'Raw ratings'!P30</f>
        <v>2</v>
      </c>
      <c r="G30" s="17">
        <f t="shared" si="0"/>
        <v>24.5</v>
      </c>
      <c r="H30" s="17">
        <f t="shared" si="1"/>
        <v>36.5</v>
      </c>
      <c r="I30" s="17">
        <f t="shared" si="2"/>
        <v>16</v>
      </c>
    </row>
    <row r="31" spans="1:9" ht="15" customHeight="1" x14ac:dyDescent="0.25">
      <c r="A31" s="11" t="str">
        <f>'Raw ratings'!A31</f>
        <v>T30</v>
      </c>
      <c r="B31" s="11" t="s">
        <v>102</v>
      </c>
      <c r="C31" s="11" t="str">
        <f>'Raw ratings'!B31</f>
        <v>NMF</v>
      </c>
      <c r="D31" s="11">
        <f>'Raw ratings'!N31</f>
        <v>3</v>
      </c>
      <c r="E31" s="11">
        <f>'Raw ratings'!O31</f>
        <v>3</v>
      </c>
      <c r="F31" s="11">
        <f>'Raw ratings'!P31</f>
        <v>3</v>
      </c>
      <c r="G31" s="17">
        <f t="shared" si="0"/>
        <v>50</v>
      </c>
      <c r="H31" s="17">
        <f t="shared" si="1"/>
        <v>53.5</v>
      </c>
      <c r="I31" s="17">
        <f t="shared" si="2"/>
        <v>44</v>
      </c>
    </row>
    <row r="32" spans="1:9" ht="15" customHeight="1" x14ac:dyDescent="0.25">
      <c r="A32" s="11" t="str">
        <f>'Raw ratings'!A2</f>
        <v>T01</v>
      </c>
      <c r="B32" s="11" t="s">
        <v>118</v>
      </c>
      <c r="C32" s="11" t="str">
        <f>'Raw ratings'!B2</f>
        <v>NMF</v>
      </c>
      <c r="D32" s="11">
        <f>'Raw ratings'!Q2</f>
        <v>3</v>
      </c>
      <c r="E32" s="11">
        <f>'Raw ratings'!R2</f>
        <v>2</v>
      </c>
      <c r="F32" s="11">
        <f>'Raw ratings'!S2</f>
        <v>3</v>
      </c>
      <c r="G32" s="17">
        <f t="shared" si="0"/>
        <v>50</v>
      </c>
      <c r="H32" s="17">
        <f t="shared" si="1"/>
        <v>36.5</v>
      </c>
      <c r="I32" s="17">
        <f t="shared" si="2"/>
        <v>44</v>
      </c>
    </row>
    <row r="33" spans="1:9" ht="15" customHeight="1" x14ac:dyDescent="0.25">
      <c r="A33" s="11" t="str">
        <f>'Raw ratings'!A3</f>
        <v>T02</v>
      </c>
      <c r="B33" s="11" t="s">
        <v>118</v>
      </c>
      <c r="C33" s="11" t="str">
        <f>'Raw ratings'!B3</f>
        <v>LDA</v>
      </c>
      <c r="D33" s="11">
        <f>'Raw ratings'!Q3</f>
        <v>1</v>
      </c>
      <c r="E33" s="11">
        <f>'Raw ratings'!R3</f>
        <v>1</v>
      </c>
      <c r="F33" s="11">
        <f>'Raw ratings'!S3</f>
        <v>1</v>
      </c>
      <c r="G33" s="17">
        <f t="shared" si="0"/>
        <v>5</v>
      </c>
      <c r="H33" s="17">
        <f t="shared" si="1"/>
        <v>13.5</v>
      </c>
      <c r="I33" s="17">
        <f t="shared" si="2"/>
        <v>2.5</v>
      </c>
    </row>
    <row r="34" spans="1:9" ht="15" customHeight="1" x14ac:dyDescent="0.25">
      <c r="A34" s="11" t="str">
        <f>'Raw ratings'!A4</f>
        <v>T03</v>
      </c>
      <c r="B34" s="11" t="s">
        <v>118</v>
      </c>
      <c r="C34" s="11" t="str">
        <f>'Raw ratings'!B4</f>
        <v>LDA</v>
      </c>
      <c r="D34" s="11">
        <f>'Raw ratings'!Q4</f>
        <v>2</v>
      </c>
      <c r="E34" s="11">
        <f>'Raw ratings'!R4</f>
        <v>1</v>
      </c>
      <c r="F34" s="11">
        <f>'Raw ratings'!S4</f>
        <v>2</v>
      </c>
      <c r="G34" s="17">
        <f t="shared" ref="G34:G61" si="3">COUNTIF($D$2:$D$61,"&lt;"&amp;D34)+(COUNTIF($D$2:$D$61,"="&amp;D34)+1)/2</f>
        <v>24.5</v>
      </c>
      <c r="H34" s="17">
        <f t="shared" ref="H34:H61" si="4">COUNTIF($E$2:$E$61,"&lt;"&amp;E34)+(COUNTIF($E$2:$E$61,"="&amp;E34)+1)/2</f>
        <v>13.5</v>
      </c>
      <c r="I34" s="17">
        <f t="shared" ref="I34:I61" si="5">COUNTIF($F$2:$F$61,"&lt;"&amp;F34)+(COUNTIF($F$2:$F$61,"="&amp;F34)+1)/2</f>
        <v>16</v>
      </c>
    </row>
    <row r="35" spans="1:9" ht="15" customHeight="1" x14ac:dyDescent="0.25">
      <c r="A35" s="11" t="str">
        <f>'Raw ratings'!A5</f>
        <v>T04</v>
      </c>
      <c r="B35" s="11" t="s">
        <v>118</v>
      </c>
      <c r="C35" s="11" t="str">
        <f>'Raw ratings'!B5</f>
        <v>NMF</v>
      </c>
      <c r="D35" s="11">
        <f>'Raw ratings'!Q5</f>
        <v>3</v>
      </c>
      <c r="E35" s="11">
        <f>'Raw ratings'!R5</f>
        <v>3</v>
      </c>
      <c r="F35" s="11">
        <f>'Raw ratings'!S5</f>
        <v>3</v>
      </c>
      <c r="G35" s="17">
        <f t="shared" si="3"/>
        <v>50</v>
      </c>
      <c r="H35" s="17">
        <f t="shared" si="4"/>
        <v>53.5</v>
      </c>
      <c r="I35" s="17">
        <f t="shared" si="5"/>
        <v>44</v>
      </c>
    </row>
    <row r="36" spans="1:9" ht="15" customHeight="1" x14ac:dyDescent="0.25">
      <c r="A36" s="11" t="str">
        <f>'Raw ratings'!A6</f>
        <v>T05</v>
      </c>
      <c r="B36" s="11" t="s">
        <v>118</v>
      </c>
      <c r="C36" s="11" t="str">
        <f>'Raw ratings'!B6</f>
        <v>NMF</v>
      </c>
      <c r="D36" s="11">
        <f>'Raw ratings'!Q6</f>
        <v>3</v>
      </c>
      <c r="E36" s="11">
        <f>'Raw ratings'!R6</f>
        <v>2</v>
      </c>
      <c r="F36" s="11">
        <f>'Raw ratings'!S6</f>
        <v>3</v>
      </c>
      <c r="G36" s="17">
        <f t="shared" si="3"/>
        <v>50</v>
      </c>
      <c r="H36" s="17">
        <f t="shared" si="4"/>
        <v>36.5</v>
      </c>
      <c r="I36" s="17">
        <f t="shared" si="5"/>
        <v>44</v>
      </c>
    </row>
    <row r="37" spans="1:9" ht="15" customHeight="1" x14ac:dyDescent="0.25">
      <c r="A37" s="11" t="str">
        <f>'Raw ratings'!A7</f>
        <v>T06</v>
      </c>
      <c r="B37" s="11" t="s">
        <v>118</v>
      </c>
      <c r="C37" s="11" t="str">
        <f>'Raw ratings'!B7</f>
        <v>LDA</v>
      </c>
      <c r="D37" s="11">
        <f>'Raw ratings'!Q7</f>
        <v>1</v>
      </c>
      <c r="E37" s="11">
        <f>'Raw ratings'!R7</f>
        <v>1</v>
      </c>
      <c r="F37" s="11">
        <f>'Raw ratings'!S7</f>
        <v>1</v>
      </c>
      <c r="G37" s="17">
        <f t="shared" si="3"/>
        <v>5</v>
      </c>
      <c r="H37" s="17">
        <f t="shared" si="4"/>
        <v>13.5</v>
      </c>
      <c r="I37" s="17">
        <f t="shared" si="5"/>
        <v>2.5</v>
      </c>
    </row>
    <row r="38" spans="1:9" ht="15" customHeight="1" x14ac:dyDescent="0.25">
      <c r="A38" s="11" t="str">
        <f>'Raw ratings'!A8</f>
        <v>T07</v>
      </c>
      <c r="B38" s="11" t="s">
        <v>118</v>
      </c>
      <c r="C38" s="11" t="str">
        <f>'Raw ratings'!B8</f>
        <v>LDA</v>
      </c>
      <c r="D38" s="11">
        <f>'Raw ratings'!Q8</f>
        <v>2</v>
      </c>
      <c r="E38" s="11">
        <f>'Raw ratings'!R8</f>
        <v>1</v>
      </c>
      <c r="F38" s="11">
        <f>'Raw ratings'!S8</f>
        <v>3</v>
      </c>
      <c r="G38" s="17">
        <f t="shared" si="3"/>
        <v>24.5</v>
      </c>
      <c r="H38" s="17">
        <f t="shared" si="4"/>
        <v>13.5</v>
      </c>
      <c r="I38" s="17">
        <f t="shared" si="5"/>
        <v>44</v>
      </c>
    </row>
    <row r="39" spans="1:9" ht="15" customHeight="1" x14ac:dyDescent="0.25">
      <c r="A39" s="11" t="str">
        <f>'Raw ratings'!A9</f>
        <v>T08</v>
      </c>
      <c r="B39" s="11" t="s">
        <v>118</v>
      </c>
      <c r="C39" s="11" t="str">
        <f>'Raw ratings'!B9</f>
        <v>LDA</v>
      </c>
      <c r="D39" s="11">
        <f>'Raw ratings'!Q9</f>
        <v>3</v>
      </c>
      <c r="E39" s="11">
        <f>'Raw ratings'!R9</f>
        <v>2</v>
      </c>
      <c r="F39" s="11">
        <f>'Raw ratings'!S9</f>
        <v>3</v>
      </c>
      <c r="G39" s="17">
        <f t="shared" si="3"/>
        <v>50</v>
      </c>
      <c r="H39" s="17">
        <f t="shared" si="4"/>
        <v>36.5</v>
      </c>
      <c r="I39" s="17">
        <f t="shared" si="5"/>
        <v>44</v>
      </c>
    </row>
    <row r="40" spans="1:9" ht="15" customHeight="1" x14ac:dyDescent="0.25">
      <c r="A40" s="11" t="str">
        <f>'Raw ratings'!A10</f>
        <v>T09</v>
      </c>
      <c r="B40" s="11" t="s">
        <v>118</v>
      </c>
      <c r="C40" s="11" t="str">
        <f>'Raw ratings'!B10</f>
        <v>LDA</v>
      </c>
      <c r="D40" s="11">
        <f>'Raw ratings'!Q10</f>
        <v>2</v>
      </c>
      <c r="E40" s="11">
        <f>'Raw ratings'!R10</f>
        <v>1</v>
      </c>
      <c r="F40" s="11">
        <f>'Raw ratings'!S10</f>
        <v>3</v>
      </c>
      <c r="G40" s="17">
        <f t="shared" si="3"/>
        <v>24.5</v>
      </c>
      <c r="H40" s="17">
        <f t="shared" si="4"/>
        <v>13.5</v>
      </c>
      <c r="I40" s="17">
        <f t="shared" si="5"/>
        <v>44</v>
      </c>
    </row>
    <row r="41" spans="1:9" ht="15" customHeight="1" x14ac:dyDescent="0.25">
      <c r="A41" s="11" t="str">
        <f>'Raw ratings'!A11</f>
        <v>T10</v>
      </c>
      <c r="B41" s="11" t="s">
        <v>118</v>
      </c>
      <c r="C41" s="11" t="str">
        <f>'Raw ratings'!B11</f>
        <v>NMF</v>
      </c>
      <c r="D41" s="11">
        <f>'Raw ratings'!Q11</f>
        <v>2</v>
      </c>
      <c r="E41" s="11">
        <f>'Raw ratings'!R11</f>
        <v>2</v>
      </c>
      <c r="F41" s="11">
        <f>'Raw ratings'!S11</f>
        <v>3</v>
      </c>
      <c r="G41" s="17">
        <f t="shared" si="3"/>
        <v>24.5</v>
      </c>
      <c r="H41" s="17">
        <f t="shared" si="4"/>
        <v>36.5</v>
      </c>
      <c r="I41" s="17">
        <f t="shared" si="5"/>
        <v>44</v>
      </c>
    </row>
    <row r="42" spans="1:9" ht="15" customHeight="1" x14ac:dyDescent="0.25">
      <c r="A42" s="11" t="str">
        <f>'Raw ratings'!A12</f>
        <v>T11</v>
      </c>
      <c r="B42" s="11" t="s">
        <v>118</v>
      </c>
      <c r="C42" s="11" t="str">
        <f>'Raw ratings'!B12</f>
        <v>LDA</v>
      </c>
      <c r="D42" s="11">
        <f>'Raw ratings'!Q12</f>
        <v>2</v>
      </c>
      <c r="E42" s="11">
        <f>'Raw ratings'!R12</f>
        <v>1</v>
      </c>
      <c r="F42" s="11">
        <f>'Raw ratings'!S12</f>
        <v>2</v>
      </c>
      <c r="G42" s="17">
        <f t="shared" si="3"/>
        <v>24.5</v>
      </c>
      <c r="H42" s="17">
        <f t="shared" si="4"/>
        <v>13.5</v>
      </c>
      <c r="I42" s="17">
        <f t="shared" si="5"/>
        <v>16</v>
      </c>
    </row>
    <row r="43" spans="1:9" ht="15" customHeight="1" x14ac:dyDescent="0.25">
      <c r="A43" s="11" t="str">
        <f>'Raw ratings'!A13</f>
        <v>T12</v>
      </c>
      <c r="B43" s="11" t="s">
        <v>118</v>
      </c>
      <c r="C43" s="11" t="str">
        <f>'Raw ratings'!B13</f>
        <v>NMF</v>
      </c>
      <c r="D43" s="11">
        <f>'Raw ratings'!Q13</f>
        <v>3</v>
      </c>
      <c r="E43" s="11">
        <f>'Raw ratings'!R13</f>
        <v>2</v>
      </c>
      <c r="F43" s="11">
        <f>'Raw ratings'!S13</f>
        <v>3</v>
      </c>
      <c r="G43" s="17">
        <f t="shared" si="3"/>
        <v>50</v>
      </c>
      <c r="H43" s="17">
        <f t="shared" si="4"/>
        <v>36.5</v>
      </c>
      <c r="I43" s="17">
        <f t="shared" si="5"/>
        <v>44</v>
      </c>
    </row>
    <row r="44" spans="1:9" ht="15" customHeight="1" x14ac:dyDescent="0.25">
      <c r="A44" s="11" t="str">
        <f>'Raw ratings'!A14</f>
        <v>T13</v>
      </c>
      <c r="B44" s="11" t="s">
        <v>118</v>
      </c>
      <c r="C44" s="11" t="str">
        <f>'Raw ratings'!B14</f>
        <v>NMF</v>
      </c>
      <c r="D44" s="11">
        <f>'Raw ratings'!Q14</f>
        <v>2</v>
      </c>
      <c r="E44" s="11">
        <f>'Raw ratings'!R14</f>
        <v>1</v>
      </c>
      <c r="F44" s="11">
        <f>'Raw ratings'!S14</f>
        <v>2</v>
      </c>
      <c r="G44" s="17">
        <f t="shared" si="3"/>
        <v>24.5</v>
      </c>
      <c r="H44" s="17">
        <f t="shared" si="4"/>
        <v>13.5</v>
      </c>
      <c r="I44" s="17">
        <f t="shared" si="5"/>
        <v>16</v>
      </c>
    </row>
    <row r="45" spans="1:9" ht="15" customHeight="1" x14ac:dyDescent="0.25">
      <c r="A45" s="11" t="str">
        <f>'Raw ratings'!A15</f>
        <v>T14</v>
      </c>
      <c r="B45" s="11" t="s">
        <v>118</v>
      </c>
      <c r="C45" s="11" t="str">
        <f>'Raw ratings'!B15</f>
        <v>NMF</v>
      </c>
      <c r="D45" s="11">
        <f>'Raw ratings'!Q15</f>
        <v>3</v>
      </c>
      <c r="E45" s="11">
        <f>'Raw ratings'!R15</f>
        <v>1</v>
      </c>
      <c r="F45" s="11">
        <f>'Raw ratings'!S15</f>
        <v>3</v>
      </c>
      <c r="G45" s="17">
        <f t="shared" si="3"/>
        <v>50</v>
      </c>
      <c r="H45" s="17">
        <f t="shared" si="4"/>
        <v>13.5</v>
      </c>
      <c r="I45" s="17">
        <f t="shared" si="5"/>
        <v>44</v>
      </c>
    </row>
    <row r="46" spans="1:9" ht="15" customHeight="1" x14ac:dyDescent="0.25">
      <c r="A46" s="11" t="str">
        <f>'Raw ratings'!A16</f>
        <v>T15</v>
      </c>
      <c r="B46" s="11" t="s">
        <v>118</v>
      </c>
      <c r="C46" s="11" t="str">
        <f>'Raw ratings'!B16</f>
        <v>NMF</v>
      </c>
      <c r="D46" s="11">
        <f>'Raw ratings'!Q16</f>
        <v>2</v>
      </c>
      <c r="E46" s="11">
        <f>'Raw ratings'!R16</f>
        <v>1</v>
      </c>
      <c r="F46" s="11">
        <f>'Raw ratings'!S16</f>
        <v>3</v>
      </c>
      <c r="G46" s="17">
        <f t="shared" si="3"/>
        <v>24.5</v>
      </c>
      <c r="H46" s="17">
        <f t="shared" si="4"/>
        <v>13.5</v>
      </c>
      <c r="I46" s="17">
        <f t="shared" si="5"/>
        <v>44</v>
      </c>
    </row>
    <row r="47" spans="1:9" ht="15" customHeight="1" x14ac:dyDescent="0.25">
      <c r="A47" s="11" t="str">
        <f>'Raw ratings'!A17</f>
        <v>T16</v>
      </c>
      <c r="B47" s="11" t="s">
        <v>118</v>
      </c>
      <c r="C47" s="11" t="str">
        <f>'Raw ratings'!B17</f>
        <v>NMF</v>
      </c>
      <c r="D47" s="11">
        <f>'Raw ratings'!Q17</f>
        <v>2</v>
      </c>
      <c r="E47" s="11">
        <f>'Raw ratings'!R17</f>
        <v>1</v>
      </c>
      <c r="F47" s="11">
        <f>'Raw ratings'!S17</f>
        <v>3</v>
      </c>
      <c r="G47" s="17">
        <f t="shared" si="3"/>
        <v>24.5</v>
      </c>
      <c r="H47" s="17">
        <f t="shared" si="4"/>
        <v>13.5</v>
      </c>
      <c r="I47" s="17">
        <f t="shared" si="5"/>
        <v>44</v>
      </c>
    </row>
    <row r="48" spans="1:9" ht="15" customHeight="1" x14ac:dyDescent="0.25">
      <c r="A48" s="11" t="str">
        <f>'Raw ratings'!A18</f>
        <v>T17</v>
      </c>
      <c r="B48" s="11" t="s">
        <v>118</v>
      </c>
      <c r="C48" s="11" t="str">
        <f>'Raw ratings'!B18</f>
        <v>LDA</v>
      </c>
      <c r="D48" s="11">
        <f>'Raw ratings'!Q18</f>
        <v>2</v>
      </c>
      <c r="E48" s="11">
        <f>'Raw ratings'!R18</f>
        <v>1</v>
      </c>
      <c r="F48" s="11">
        <f>'Raw ratings'!S18</f>
        <v>3</v>
      </c>
      <c r="G48" s="17">
        <f t="shared" si="3"/>
        <v>24.5</v>
      </c>
      <c r="H48" s="17">
        <f t="shared" si="4"/>
        <v>13.5</v>
      </c>
      <c r="I48" s="17">
        <f t="shared" si="5"/>
        <v>44</v>
      </c>
    </row>
    <row r="49" spans="1:9" ht="15" customHeight="1" x14ac:dyDescent="0.25">
      <c r="A49" s="11" t="str">
        <f>'Raw ratings'!A19</f>
        <v>T18</v>
      </c>
      <c r="B49" s="11" t="s">
        <v>118</v>
      </c>
      <c r="C49" s="11" t="str">
        <f>'Raw ratings'!B19</f>
        <v>LDA</v>
      </c>
      <c r="D49" s="11">
        <f>'Raw ratings'!Q19</f>
        <v>3</v>
      </c>
      <c r="E49" s="11">
        <f>'Raw ratings'!R19</f>
        <v>2</v>
      </c>
      <c r="F49" s="11">
        <f>'Raw ratings'!S19</f>
        <v>2</v>
      </c>
      <c r="G49" s="17">
        <f t="shared" si="3"/>
        <v>50</v>
      </c>
      <c r="H49" s="17">
        <f t="shared" si="4"/>
        <v>36.5</v>
      </c>
      <c r="I49" s="17">
        <f t="shared" si="5"/>
        <v>16</v>
      </c>
    </row>
    <row r="50" spans="1:9" ht="15" customHeight="1" x14ac:dyDescent="0.25">
      <c r="A50" s="11" t="str">
        <f>'Raw ratings'!A20</f>
        <v>T19</v>
      </c>
      <c r="B50" s="11" t="s">
        <v>118</v>
      </c>
      <c r="C50" s="11" t="str">
        <f>'Raw ratings'!B20</f>
        <v>NMF</v>
      </c>
      <c r="D50" s="11">
        <f>'Raw ratings'!Q20</f>
        <v>3</v>
      </c>
      <c r="E50" s="11">
        <f>'Raw ratings'!R20</f>
        <v>3</v>
      </c>
      <c r="F50" s="11">
        <f>'Raw ratings'!S20</f>
        <v>3</v>
      </c>
      <c r="G50" s="17">
        <f t="shared" si="3"/>
        <v>50</v>
      </c>
      <c r="H50" s="17">
        <f t="shared" si="4"/>
        <v>53.5</v>
      </c>
      <c r="I50" s="17">
        <f t="shared" si="5"/>
        <v>44</v>
      </c>
    </row>
    <row r="51" spans="1:9" ht="15" customHeight="1" x14ac:dyDescent="0.25">
      <c r="A51" s="11" t="str">
        <f>'Raw ratings'!A21</f>
        <v>T20</v>
      </c>
      <c r="B51" s="11" t="s">
        <v>118</v>
      </c>
      <c r="C51" s="11" t="str">
        <f>'Raw ratings'!B21</f>
        <v>LDA</v>
      </c>
      <c r="D51" s="11">
        <f>'Raw ratings'!Q21</f>
        <v>3</v>
      </c>
      <c r="E51" s="11">
        <f>'Raw ratings'!R21</f>
        <v>1</v>
      </c>
      <c r="F51" s="11">
        <f>'Raw ratings'!S21</f>
        <v>3</v>
      </c>
      <c r="G51" s="17">
        <f t="shared" si="3"/>
        <v>50</v>
      </c>
      <c r="H51" s="17">
        <f t="shared" si="4"/>
        <v>13.5</v>
      </c>
      <c r="I51" s="17">
        <f t="shared" si="5"/>
        <v>44</v>
      </c>
    </row>
    <row r="52" spans="1:9" ht="15" customHeight="1" x14ac:dyDescent="0.25">
      <c r="A52" s="11" t="str">
        <f>'Raw ratings'!A22</f>
        <v>T21</v>
      </c>
      <c r="B52" s="11" t="s">
        <v>118</v>
      </c>
      <c r="C52" s="11" t="str">
        <f>'Raw ratings'!B22</f>
        <v>NMF</v>
      </c>
      <c r="D52" s="11">
        <f>'Raw ratings'!Q22</f>
        <v>3</v>
      </c>
      <c r="E52" s="11">
        <f>'Raw ratings'!R22</f>
        <v>3</v>
      </c>
      <c r="F52" s="11">
        <f>'Raw ratings'!S22</f>
        <v>3</v>
      </c>
      <c r="G52" s="17">
        <f t="shared" si="3"/>
        <v>50</v>
      </c>
      <c r="H52" s="17">
        <f t="shared" si="4"/>
        <v>53.5</v>
      </c>
      <c r="I52" s="17">
        <f t="shared" si="5"/>
        <v>44</v>
      </c>
    </row>
    <row r="53" spans="1:9" ht="15" customHeight="1" x14ac:dyDescent="0.25">
      <c r="A53" s="11" t="str">
        <f>'Raw ratings'!A23</f>
        <v>T22</v>
      </c>
      <c r="B53" s="11" t="s">
        <v>118</v>
      </c>
      <c r="C53" s="11" t="str">
        <f>'Raw ratings'!B23</f>
        <v>NMF</v>
      </c>
      <c r="D53" s="11">
        <f>'Raw ratings'!Q23</f>
        <v>2</v>
      </c>
      <c r="E53" s="11">
        <f>'Raw ratings'!R23</f>
        <v>2</v>
      </c>
      <c r="F53" s="11">
        <f>'Raw ratings'!S23</f>
        <v>3</v>
      </c>
      <c r="G53" s="17">
        <f t="shared" si="3"/>
        <v>24.5</v>
      </c>
      <c r="H53" s="17">
        <f t="shared" si="4"/>
        <v>36.5</v>
      </c>
      <c r="I53" s="17">
        <f t="shared" si="5"/>
        <v>44</v>
      </c>
    </row>
    <row r="54" spans="1:9" ht="15" customHeight="1" x14ac:dyDescent="0.25">
      <c r="A54" s="11" t="str">
        <f>'Raw ratings'!A24</f>
        <v>T23</v>
      </c>
      <c r="B54" s="11" t="s">
        <v>118</v>
      </c>
      <c r="C54" s="11" t="str">
        <f>'Raw ratings'!B24</f>
        <v>LDA</v>
      </c>
      <c r="D54" s="11">
        <f>'Raw ratings'!Q24</f>
        <v>2</v>
      </c>
      <c r="E54" s="11">
        <f>'Raw ratings'!R24</f>
        <v>1</v>
      </c>
      <c r="F54" s="11">
        <f>'Raw ratings'!S24</f>
        <v>3</v>
      </c>
      <c r="G54" s="17">
        <f t="shared" si="3"/>
        <v>24.5</v>
      </c>
      <c r="H54" s="17">
        <f t="shared" si="4"/>
        <v>13.5</v>
      </c>
      <c r="I54" s="17">
        <f t="shared" si="5"/>
        <v>44</v>
      </c>
    </row>
    <row r="55" spans="1:9" ht="15" customHeight="1" x14ac:dyDescent="0.25">
      <c r="A55" s="11" t="str">
        <f>'Raw ratings'!A25</f>
        <v>T24</v>
      </c>
      <c r="B55" s="11" t="s">
        <v>118</v>
      </c>
      <c r="C55" s="11" t="str">
        <f>'Raw ratings'!B25</f>
        <v>NMF</v>
      </c>
      <c r="D55" s="11">
        <f>'Raw ratings'!Q25</f>
        <v>3</v>
      </c>
      <c r="E55" s="11">
        <f>'Raw ratings'!R25</f>
        <v>2</v>
      </c>
      <c r="F55" s="11">
        <f>'Raw ratings'!S25</f>
        <v>3</v>
      </c>
      <c r="G55" s="17">
        <f t="shared" si="3"/>
        <v>50</v>
      </c>
      <c r="H55" s="17">
        <f t="shared" si="4"/>
        <v>36.5</v>
      </c>
      <c r="I55" s="17">
        <f t="shared" si="5"/>
        <v>44</v>
      </c>
    </row>
    <row r="56" spans="1:9" ht="15" customHeight="1" x14ac:dyDescent="0.25">
      <c r="A56" s="11" t="str">
        <f>'Raw ratings'!A26</f>
        <v>T25</v>
      </c>
      <c r="B56" s="11" t="s">
        <v>118</v>
      </c>
      <c r="C56" s="11" t="str">
        <f>'Raw ratings'!B26</f>
        <v>LDA</v>
      </c>
      <c r="D56" s="11">
        <f>'Raw ratings'!Q26</f>
        <v>2</v>
      </c>
      <c r="E56" s="11">
        <f>'Raw ratings'!R26</f>
        <v>1</v>
      </c>
      <c r="F56" s="11">
        <f>'Raw ratings'!S26</f>
        <v>3</v>
      </c>
      <c r="G56" s="17">
        <f t="shared" si="3"/>
        <v>24.5</v>
      </c>
      <c r="H56" s="17">
        <f t="shared" si="4"/>
        <v>13.5</v>
      </c>
      <c r="I56" s="17">
        <f t="shared" si="5"/>
        <v>44</v>
      </c>
    </row>
    <row r="57" spans="1:9" ht="15" customHeight="1" x14ac:dyDescent="0.25">
      <c r="A57" s="11" t="str">
        <f>'Raw ratings'!A27</f>
        <v>T26</v>
      </c>
      <c r="B57" s="11" t="s">
        <v>118</v>
      </c>
      <c r="C57" s="11" t="str">
        <f>'Raw ratings'!B27</f>
        <v>LDA</v>
      </c>
      <c r="D57" s="11">
        <f>'Raw ratings'!Q27</f>
        <v>2</v>
      </c>
      <c r="E57" s="11">
        <f>'Raw ratings'!R27</f>
        <v>2</v>
      </c>
      <c r="F57" s="11">
        <f>'Raw ratings'!S27</f>
        <v>3</v>
      </c>
      <c r="G57" s="17">
        <f t="shared" si="3"/>
        <v>24.5</v>
      </c>
      <c r="H57" s="17">
        <f t="shared" si="4"/>
        <v>36.5</v>
      </c>
      <c r="I57" s="17">
        <f t="shared" si="5"/>
        <v>44</v>
      </c>
    </row>
    <row r="58" spans="1:9" ht="15" customHeight="1" x14ac:dyDescent="0.25">
      <c r="A58" s="11" t="str">
        <f>'Raw ratings'!A28</f>
        <v>T27</v>
      </c>
      <c r="B58" s="11" t="s">
        <v>118</v>
      </c>
      <c r="C58" s="11" t="str">
        <f>'Raw ratings'!B28</f>
        <v>NMF</v>
      </c>
      <c r="D58" s="11">
        <f>'Raw ratings'!Q28</f>
        <v>3</v>
      </c>
      <c r="E58" s="11">
        <f>'Raw ratings'!R28</f>
        <v>2</v>
      </c>
      <c r="F58" s="11">
        <f>'Raw ratings'!S28</f>
        <v>3</v>
      </c>
      <c r="G58" s="17">
        <f t="shared" si="3"/>
        <v>50</v>
      </c>
      <c r="H58" s="17">
        <f t="shared" si="4"/>
        <v>36.5</v>
      </c>
      <c r="I58" s="17">
        <f t="shared" si="5"/>
        <v>44</v>
      </c>
    </row>
    <row r="59" spans="1:9" ht="15" customHeight="1" x14ac:dyDescent="0.25">
      <c r="A59" s="11" t="str">
        <f>'Raw ratings'!A29</f>
        <v>T28</v>
      </c>
      <c r="B59" s="11" t="s">
        <v>118</v>
      </c>
      <c r="C59" s="11" t="str">
        <f>'Raw ratings'!B29</f>
        <v>LDA</v>
      </c>
      <c r="D59" s="11">
        <f>'Raw ratings'!Q29</f>
        <v>3</v>
      </c>
      <c r="E59" s="11">
        <f>'Raw ratings'!R29</f>
        <v>2</v>
      </c>
      <c r="F59" s="11">
        <f>'Raw ratings'!S29</f>
        <v>3</v>
      </c>
      <c r="G59" s="17">
        <f t="shared" si="3"/>
        <v>50</v>
      </c>
      <c r="H59" s="17">
        <f t="shared" si="4"/>
        <v>36.5</v>
      </c>
      <c r="I59" s="17">
        <f t="shared" si="5"/>
        <v>44</v>
      </c>
    </row>
    <row r="60" spans="1:9" ht="15" customHeight="1" x14ac:dyDescent="0.25">
      <c r="A60" s="11" t="str">
        <f>'Raw ratings'!A30</f>
        <v>T29</v>
      </c>
      <c r="B60" s="11" t="s">
        <v>118</v>
      </c>
      <c r="C60" s="11" t="str">
        <f>'Raw ratings'!B30</f>
        <v>LDA</v>
      </c>
      <c r="D60" s="11">
        <f>'Raw ratings'!Q30</f>
        <v>1</v>
      </c>
      <c r="E60" s="11">
        <f>'Raw ratings'!R30</f>
        <v>1</v>
      </c>
      <c r="F60" s="11">
        <f>'Raw ratings'!S30</f>
        <v>2</v>
      </c>
      <c r="G60" s="17">
        <f t="shared" si="3"/>
        <v>5</v>
      </c>
      <c r="H60" s="17">
        <f t="shared" si="4"/>
        <v>13.5</v>
      </c>
      <c r="I60" s="17">
        <f t="shared" si="5"/>
        <v>16</v>
      </c>
    </row>
    <row r="61" spans="1:9" ht="15" customHeight="1" x14ac:dyDescent="0.25">
      <c r="A61" s="11" t="str">
        <f>'Raw ratings'!A31</f>
        <v>T30</v>
      </c>
      <c r="B61" s="11" t="s">
        <v>118</v>
      </c>
      <c r="C61" s="11" t="str">
        <f>'Raw ratings'!B31</f>
        <v>NMF</v>
      </c>
      <c r="D61" s="11">
        <f>'Raw ratings'!Q31</f>
        <v>3</v>
      </c>
      <c r="E61" s="11">
        <f>'Raw ratings'!R31</f>
        <v>2</v>
      </c>
      <c r="F61" s="11">
        <f>'Raw ratings'!S31</f>
        <v>3</v>
      </c>
      <c r="G61" s="17">
        <f t="shared" si="3"/>
        <v>50</v>
      </c>
      <c r="H61" s="17">
        <f t="shared" si="4"/>
        <v>36.5</v>
      </c>
      <c r="I61" s="17">
        <f t="shared" si="5"/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topLeftCell="A7" zoomScaleNormal="100" workbookViewId="0">
      <selection activeCell="G23" sqref="G23"/>
    </sheetView>
  </sheetViews>
  <sheetFormatPr defaultColWidth="8.7109375" defaultRowHeight="15" x14ac:dyDescent="0.25"/>
  <cols>
    <col min="1" max="1" width="23.28515625" customWidth="1"/>
    <col min="2" max="2" width="11" customWidth="1"/>
    <col min="3" max="5" width="9" customWidth="1"/>
    <col min="6" max="6" width="10" customWidth="1"/>
    <col min="7" max="7" width="11" customWidth="1"/>
    <col min="8" max="8" width="10" customWidth="1"/>
  </cols>
  <sheetData>
    <row r="1" spans="1:7" ht="15" customHeight="1" x14ac:dyDescent="0.25">
      <c r="A1" s="9" t="s">
        <v>119</v>
      </c>
    </row>
    <row r="2" spans="1:7" ht="15" customHeight="1" x14ac:dyDescent="0.25">
      <c r="A2" s="5" t="s">
        <v>120</v>
      </c>
      <c r="B2" s="5" t="s">
        <v>37</v>
      </c>
      <c r="C2" s="5" t="s">
        <v>51</v>
      </c>
      <c r="D2" s="5" t="s">
        <v>70</v>
      </c>
      <c r="E2" s="5" t="s">
        <v>35</v>
      </c>
      <c r="F2" s="5" t="s">
        <v>47</v>
      </c>
      <c r="G2" s="5" t="s">
        <v>121</v>
      </c>
    </row>
    <row r="3" spans="1:7" ht="15" customHeight="1" x14ac:dyDescent="0.25">
      <c r="A3" s="10" t="s">
        <v>37</v>
      </c>
      <c r="B3" s="11">
        <f>COUNTIFS('Raw ratings'!$E$2:$E$31,"A",'Raw ratings'!$G$2:$G$31,"A")</f>
        <v>0</v>
      </c>
      <c r="C3" s="11">
        <f>COUNTIFS('Raw ratings'!$E$2:$E$31,"A",'Raw ratings'!$G$2:$G$31,"B")</f>
        <v>5</v>
      </c>
      <c r="D3" s="11">
        <f>COUNTIFS('Raw ratings'!$E$2:$E$31,"A",'Raw ratings'!$G$2:$G$31,"C")</f>
        <v>0</v>
      </c>
      <c r="E3" s="11">
        <f>COUNTIFS('Raw ratings'!$E$2:$E$31,"A",'Raw ratings'!$G$2:$G$31,"D")</f>
        <v>0</v>
      </c>
      <c r="F3" s="11">
        <f>COUNTIFS('Raw ratings'!$E$2:$E$31,"A",'Raw ratings'!$G$2:$G$31,"Inductive")</f>
        <v>1</v>
      </c>
      <c r="G3" s="12">
        <f t="shared" ref="G3:G8" si="0">SUM(B3:F3)</f>
        <v>6</v>
      </c>
    </row>
    <row r="4" spans="1:7" ht="15" customHeight="1" x14ac:dyDescent="0.25">
      <c r="A4" s="10" t="s">
        <v>51</v>
      </c>
      <c r="B4" s="11">
        <f>COUNTIFS('Raw ratings'!$E$2:$E$31,"B",'Raw ratings'!$G$2:$G$31,"A")</f>
        <v>0</v>
      </c>
      <c r="C4" s="11">
        <f>COUNTIFS('Raw ratings'!$E$2:$E$31,"B",'Raw ratings'!$G$2:$G$31,"B")</f>
        <v>11</v>
      </c>
      <c r="D4" s="11">
        <f>COUNTIFS('Raw ratings'!$E$2:$E$31,"B",'Raw ratings'!$G$2:$G$31,"C")</f>
        <v>0</v>
      </c>
      <c r="E4" s="11">
        <f>COUNTIFS('Raw ratings'!$E$2:$E$31,"B",'Raw ratings'!$G$2:$G$31,"D")</f>
        <v>0</v>
      </c>
      <c r="F4" s="11">
        <f>COUNTIFS('Raw ratings'!$E$2:$E$31,"B",'Raw ratings'!$G$2:$G$31,"Inductive")</f>
        <v>2</v>
      </c>
      <c r="G4" s="12">
        <f t="shared" si="0"/>
        <v>13</v>
      </c>
    </row>
    <row r="5" spans="1:7" ht="15" customHeight="1" x14ac:dyDescent="0.25">
      <c r="A5" s="10" t="s">
        <v>70</v>
      </c>
      <c r="B5" s="11">
        <f>COUNTIFS('Raw ratings'!$E$2:$E$31,"C",'Raw ratings'!$G$2:$G$31,"A")</f>
        <v>0</v>
      </c>
      <c r="C5" s="11">
        <f>COUNTIFS('Raw ratings'!$E$2:$E$31,"C",'Raw ratings'!$G$2:$G$31,"B")</f>
        <v>0</v>
      </c>
      <c r="D5" s="11">
        <f>COUNTIFS('Raw ratings'!$E$2:$E$31,"C",'Raw ratings'!$G$2:$G$31,"C")</f>
        <v>0</v>
      </c>
      <c r="E5" s="11">
        <f>COUNTIFS('Raw ratings'!$E$2:$E$31,"C",'Raw ratings'!$G$2:$G$31,"D")</f>
        <v>0</v>
      </c>
      <c r="F5" s="11">
        <f>COUNTIFS('Raw ratings'!$E$2:$E$31,"C",'Raw ratings'!$G$2:$G$31,"Inductive")</f>
        <v>0</v>
      </c>
      <c r="G5" s="12">
        <f t="shared" si="0"/>
        <v>0</v>
      </c>
    </row>
    <row r="6" spans="1:7" ht="15" customHeight="1" x14ac:dyDescent="0.25">
      <c r="A6" s="10" t="s">
        <v>35</v>
      </c>
      <c r="B6" s="11">
        <f>COUNTIFS('Raw ratings'!$E$2:$E$31,"D",'Raw ratings'!$G$2:$G$31,"A")</f>
        <v>1</v>
      </c>
      <c r="C6" s="11">
        <f>COUNTIFS('Raw ratings'!$E$2:$E$31,"D",'Raw ratings'!$G$2:$G$31,"B")</f>
        <v>0</v>
      </c>
      <c r="D6" s="11">
        <f>COUNTIFS('Raw ratings'!$E$2:$E$31,"D",'Raw ratings'!$G$2:$G$31,"C")</f>
        <v>0</v>
      </c>
      <c r="E6" s="11">
        <f>COUNTIFS('Raw ratings'!$E$2:$E$31,"D",'Raw ratings'!$G$2:$G$31,"D")</f>
        <v>0</v>
      </c>
      <c r="F6" s="11">
        <f>COUNTIFS('Raw ratings'!$E$2:$E$31,"D",'Raw ratings'!$G$2:$G$31,"Inductive")</f>
        <v>2</v>
      </c>
      <c r="G6" s="12">
        <f t="shared" si="0"/>
        <v>3</v>
      </c>
    </row>
    <row r="7" spans="1:7" ht="15" customHeight="1" x14ac:dyDescent="0.25">
      <c r="A7" s="10" t="s">
        <v>47</v>
      </c>
      <c r="B7" s="11">
        <f>COUNTIFS('Raw ratings'!$E$2:$E$31,"Inductive",'Raw ratings'!$G$2:$G$31,"A")</f>
        <v>0</v>
      </c>
      <c r="C7" s="11">
        <f>COUNTIFS('Raw ratings'!$E$2:$E$31,"Inductive",'Raw ratings'!$G$2:$G$31,"B")</f>
        <v>3</v>
      </c>
      <c r="D7" s="11">
        <f>COUNTIFS('Raw ratings'!$E$2:$E$31,"Inductive",'Raw ratings'!$G$2:$G$31,"C")</f>
        <v>0</v>
      </c>
      <c r="E7" s="11">
        <f>COUNTIFS('Raw ratings'!$E$2:$E$31,"Inductive",'Raw ratings'!$G$2:$G$31,"D")</f>
        <v>0</v>
      </c>
      <c r="F7" s="11">
        <f>COUNTIFS('Raw ratings'!$E$2:$E$31,"Inductive",'Raw ratings'!$G$2:$G$31,"Inductive")</f>
        <v>5</v>
      </c>
      <c r="G7" s="12">
        <f t="shared" si="0"/>
        <v>8</v>
      </c>
    </row>
    <row r="8" spans="1:7" ht="15" customHeight="1" x14ac:dyDescent="0.25">
      <c r="A8" s="10" t="s">
        <v>122</v>
      </c>
      <c r="B8" s="12">
        <f>SUM(B3:B7)</f>
        <v>1</v>
      </c>
      <c r="C8" s="12">
        <f>SUM(C3:C7)</f>
        <v>19</v>
      </c>
      <c r="D8" s="12">
        <f>SUM(D3:D7)</f>
        <v>0</v>
      </c>
      <c r="E8" s="12">
        <f>SUM(E3:E7)</f>
        <v>0</v>
      </c>
      <c r="F8" s="12">
        <f>SUM(F3:F7)</f>
        <v>10</v>
      </c>
      <c r="G8" s="12">
        <f t="shared" si="0"/>
        <v>30</v>
      </c>
    </row>
    <row r="10" spans="1:7" ht="15" customHeight="1" x14ac:dyDescent="0.25">
      <c r="A10" s="5" t="s">
        <v>123</v>
      </c>
      <c r="B10" s="5" t="s">
        <v>124</v>
      </c>
      <c r="C10" s="5" t="s">
        <v>125</v>
      </c>
      <c r="D10" s="5" t="s">
        <v>126</v>
      </c>
      <c r="E10" s="5" t="s">
        <v>127</v>
      </c>
    </row>
    <row r="11" spans="1:7" ht="15" customHeight="1" x14ac:dyDescent="0.25">
      <c r="A11" s="10" t="s">
        <v>37</v>
      </c>
      <c r="B11" s="14">
        <f>IFERROR(B3/B8,0)</f>
        <v>0</v>
      </c>
      <c r="C11" s="14">
        <f>IFERROR(B3/G3,0)</f>
        <v>0</v>
      </c>
      <c r="D11" s="14">
        <f>IFERROR(2*B11*C11/(B11+C11),0)</f>
        <v>0</v>
      </c>
      <c r="E11" s="11">
        <f>IF(OR(G3&gt;0,B8&gt;0),1,0)</f>
        <v>1</v>
      </c>
    </row>
    <row r="12" spans="1:7" ht="15" customHeight="1" x14ac:dyDescent="0.25">
      <c r="A12" s="10" t="s">
        <v>51</v>
      </c>
      <c r="B12" s="14">
        <f>IFERROR(C4/C8,0)</f>
        <v>0.57894736842105265</v>
      </c>
      <c r="C12" s="14">
        <f>IFERROR(C4/G4,0)</f>
        <v>0.84615384615384615</v>
      </c>
      <c r="D12" s="14">
        <f>IFERROR(2*B12*C12/(B12+C12),0)</f>
        <v>0.6875</v>
      </c>
      <c r="E12" s="11">
        <f>IF(OR(G4&gt;0,C8&gt;0),1,0)</f>
        <v>1</v>
      </c>
    </row>
    <row r="13" spans="1:7" ht="15" customHeight="1" x14ac:dyDescent="0.25">
      <c r="A13" s="10" t="s">
        <v>70</v>
      </c>
      <c r="B13" s="14">
        <f>IFERROR(D5/D8,0)</f>
        <v>0</v>
      </c>
      <c r="C13" s="14">
        <f>IFERROR(D5/G5,0)</f>
        <v>0</v>
      </c>
      <c r="D13" s="14">
        <f>IFERROR(2*B13*C13/(B13+C13),0)</f>
        <v>0</v>
      </c>
      <c r="E13" s="11">
        <f>IF(OR(G5&gt;0,D8&gt;0),1,0)</f>
        <v>0</v>
      </c>
    </row>
    <row r="14" spans="1:7" ht="15" customHeight="1" x14ac:dyDescent="0.25">
      <c r="A14" s="10" t="s">
        <v>35</v>
      </c>
      <c r="B14" s="14">
        <f>IFERROR(E6/E8,0)</f>
        <v>0</v>
      </c>
      <c r="C14" s="14">
        <f>IFERROR(E6/G6,0)</f>
        <v>0</v>
      </c>
      <c r="D14" s="14">
        <f>IFERROR(2*B14*C14/(B14+C14),0)</f>
        <v>0</v>
      </c>
      <c r="E14" s="11">
        <f>IF(OR(G6&gt;0,E8&gt;0),1,0)</f>
        <v>1</v>
      </c>
    </row>
    <row r="15" spans="1:7" ht="15" customHeight="1" x14ac:dyDescent="0.25">
      <c r="A15" s="10" t="s">
        <v>47</v>
      </c>
      <c r="B15" s="14">
        <f>IFERROR(F7/F8,0)</f>
        <v>0.5</v>
      </c>
      <c r="C15" s="14">
        <f>IFERROR(F7/G7,0)</f>
        <v>0.625</v>
      </c>
      <c r="D15" s="14">
        <f>IFERROR(2*B15*C15/(B15+C15),0)</f>
        <v>0.55555555555555558</v>
      </c>
      <c r="E15" s="11">
        <f>IF(OR(G7&gt;0,F8&gt;0),1,0)</f>
        <v>1</v>
      </c>
    </row>
    <row r="17" spans="1:7" ht="15" customHeight="1" x14ac:dyDescent="0.25">
      <c r="A17" s="13" t="s">
        <v>128</v>
      </c>
      <c r="B17" s="16">
        <f>(B3+C4+D5+E6+F7)/30</f>
        <v>0.53333333333333333</v>
      </c>
    </row>
    <row r="18" spans="1:7" ht="15" customHeight="1" x14ac:dyDescent="0.25">
      <c r="A18" s="13" t="s">
        <v>129</v>
      </c>
      <c r="B18" s="15">
        <f>SUMPRODUCT(D11:D15,E11:E15)/SUM(E11:E15)</f>
        <v>0.3107638888888889</v>
      </c>
    </row>
    <row r="19" spans="1:7" ht="15" customHeight="1" x14ac:dyDescent="0.25">
      <c r="A19" s="13" t="s">
        <v>130</v>
      </c>
      <c r="B19" s="16">
        <f>SUMIFS('Raw ratings'!$T$2:$T$31,'Raw ratings'!$B$2:$B$31,"LDA")/COUNTIF('Raw ratings'!$B$2:$B$31,"LDA")</f>
        <v>0.6</v>
      </c>
    </row>
    <row r="20" spans="1:7" ht="15" customHeight="1" x14ac:dyDescent="0.25">
      <c r="A20" s="13" t="s">
        <v>131</v>
      </c>
      <c r="B20" s="16">
        <f>SUMIFS('Raw ratings'!$T$2:$T$31,'Raw ratings'!$B$2:$B$31,"NMF")/COUNTIF('Raw ratings'!$B$2:$B$31,"NMF")</f>
        <v>0.46666666666666667</v>
      </c>
    </row>
    <row r="22" spans="1:7" ht="15" customHeight="1" x14ac:dyDescent="0.25">
      <c r="A22" s="9" t="s">
        <v>132</v>
      </c>
    </row>
    <row r="23" spans="1:7" ht="15" customHeight="1" x14ac:dyDescent="0.25">
      <c r="A23" s="5" t="s">
        <v>120</v>
      </c>
      <c r="B23" s="5" t="s">
        <v>37</v>
      </c>
      <c r="C23" s="5" t="s">
        <v>51</v>
      </c>
      <c r="D23" s="5" t="s">
        <v>70</v>
      </c>
      <c r="E23" s="5" t="s">
        <v>35</v>
      </c>
      <c r="F23" s="5" t="s">
        <v>47</v>
      </c>
      <c r="G23" s="5" t="s">
        <v>121</v>
      </c>
    </row>
    <row r="24" spans="1:7" ht="15" customHeight="1" x14ac:dyDescent="0.25">
      <c r="A24" s="10" t="s">
        <v>37</v>
      </c>
      <c r="B24" s="11">
        <f>COUNTIFS('Raw ratings'!$E$2:$E$31,"A",'Raw ratings'!$K$2:$K$31,"A")</f>
        <v>0</v>
      </c>
      <c r="C24" s="11">
        <f>COUNTIFS('Raw ratings'!$E$2:$E$31,"A",'Raw ratings'!$K$2:$K$31,"B")</f>
        <v>4</v>
      </c>
      <c r="D24" s="11">
        <f>COUNTIFS('Raw ratings'!$E$2:$E$31,"A",'Raw ratings'!$K$2:$K$31,"C")</f>
        <v>1</v>
      </c>
      <c r="E24" s="11">
        <f>COUNTIFS('Raw ratings'!$E$2:$E$31,"A",'Raw ratings'!$K$2:$K$31,"D")</f>
        <v>1</v>
      </c>
      <c r="F24" s="11">
        <f>COUNTIFS('Raw ratings'!$E$2:$E$31,"A",'Raw ratings'!$K$2:$K$31,"Inductive")</f>
        <v>0</v>
      </c>
      <c r="G24" s="12">
        <f t="shared" ref="G24:G29" si="1">SUM(B24:F24)</f>
        <v>6</v>
      </c>
    </row>
    <row r="25" spans="1:7" ht="15" customHeight="1" x14ac:dyDescent="0.25">
      <c r="A25" s="10" t="s">
        <v>51</v>
      </c>
      <c r="B25" s="11">
        <f>COUNTIFS('Raw ratings'!$E$2:$E$31,"B",'Raw ratings'!$K$2:$K$31,"A")</f>
        <v>1</v>
      </c>
      <c r="C25" s="11">
        <f>COUNTIFS('Raw ratings'!$E$2:$E$31,"B",'Raw ratings'!$K$2:$K$31,"B")</f>
        <v>9</v>
      </c>
      <c r="D25" s="11">
        <f>COUNTIFS('Raw ratings'!$E$2:$E$31,"B",'Raw ratings'!$K$2:$K$31,"C")</f>
        <v>0</v>
      </c>
      <c r="E25" s="11">
        <f>COUNTIFS('Raw ratings'!$E$2:$E$31,"B",'Raw ratings'!$K$2:$K$31,"D")</f>
        <v>3</v>
      </c>
      <c r="F25" s="11">
        <f>COUNTIFS('Raw ratings'!$E$2:$E$31,"B",'Raw ratings'!$K$2:$K$31,"Inductive")</f>
        <v>0</v>
      </c>
      <c r="G25" s="12">
        <f t="shared" si="1"/>
        <v>13</v>
      </c>
    </row>
    <row r="26" spans="1:7" ht="15" customHeight="1" x14ac:dyDescent="0.25">
      <c r="A26" s="10" t="s">
        <v>70</v>
      </c>
      <c r="B26" s="11">
        <f>COUNTIFS('Raw ratings'!$E$2:$E$31,"C",'Raw ratings'!$K$2:$K$31,"A")</f>
        <v>0</v>
      </c>
      <c r="C26" s="11">
        <f>COUNTIFS('Raw ratings'!$E$2:$E$31,"C",'Raw ratings'!$K$2:$K$31,"B")</f>
        <v>0</v>
      </c>
      <c r="D26" s="11">
        <f>COUNTIFS('Raw ratings'!$E$2:$E$31,"C",'Raw ratings'!$K$2:$K$31,"C")</f>
        <v>0</v>
      </c>
      <c r="E26" s="11">
        <f>COUNTIFS('Raw ratings'!$E$2:$E$31,"C",'Raw ratings'!$K$2:$K$31,"D")</f>
        <v>0</v>
      </c>
      <c r="F26" s="11">
        <f>COUNTIFS('Raw ratings'!$E$2:$E$31,"C",'Raw ratings'!$K$2:$K$31,"Inductive")</f>
        <v>0</v>
      </c>
      <c r="G26" s="12">
        <f t="shared" si="1"/>
        <v>0</v>
      </c>
    </row>
    <row r="27" spans="1:7" ht="15" customHeight="1" x14ac:dyDescent="0.25">
      <c r="A27" s="10" t="s">
        <v>35</v>
      </c>
      <c r="B27" s="11">
        <f>COUNTIFS('Raw ratings'!$E$2:$E$31,"D",'Raw ratings'!$K$2:$K$31,"A")</f>
        <v>1</v>
      </c>
      <c r="C27" s="11">
        <f>COUNTIFS('Raw ratings'!$E$2:$E$31,"D",'Raw ratings'!$K$2:$K$31,"B")</f>
        <v>0</v>
      </c>
      <c r="D27" s="11">
        <f>COUNTIFS('Raw ratings'!$E$2:$E$31,"D",'Raw ratings'!$K$2:$K$31,"C")</f>
        <v>0</v>
      </c>
      <c r="E27" s="11">
        <f>COUNTIFS('Raw ratings'!$E$2:$E$31,"D",'Raw ratings'!$K$2:$K$31,"D")</f>
        <v>2</v>
      </c>
      <c r="F27" s="11">
        <f>COUNTIFS('Raw ratings'!$E$2:$E$31,"D",'Raw ratings'!$K$2:$K$31,"Inductive")</f>
        <v>0</v>
      </c>
      <c r="G27" s="12">
        <f t="shared" si="1"/>
        <v>3</v>
      </c>
    </row>
    <row r="28" spans="1:7" ht="15" customHeight="1" x14ac:dyDescent="0.25">
      <c r="A28" s="10" t="s">
        <v>47</v>
      </c>
      <c r="B28" s="11">
        <f>COUNTIFS('Raw ratings'!$E$2:$E$31,"Inductive",'Raw ratings'!$K$2:$K$31,"A")</f>
        <v>1</v>
      </c>
      <c r="C28" s="11">
        <f>COUNTIFS('Raw ratings'!$E$2:$E$31,"Inductive",'Raw ratings'!$K$2:$K$31,"B")</f>
        <v>2</v>
      </c>
      <c r="D28" s="11">
        <f>COUNTIFS('Raw ratings'!$E$2:$E$31,"Inductive",'Raw ratings'!$K$2:$K$31,"C")</f>
        <v>1</v>
      </c>
      <c r="E28" s="11">
        <f>COUNTIFS('Raw ratings'!$E$2:$E$31,"Inductive",'Raw ratings'!$K$2:$K$31,"D")</f>
        <v>2</v>
      </c>
      <c r="F28" s="11">
        <f>COUNTIFS('Raw ratings'!$E$2:$E$31,"Inductive",'Raw ratings'!$K$2:$K$31,"Inductive")</f>
        <v>2</v>
      </c>
      <c r="G28" s="12">
        <f t="shared" si="1"/>
        <v>8</v>
      </c>
    </row>
    <row r="29" spans="1:7" ht="15" customHeight="1" x14ac:dyDescent="0.25">
      <c r="A29" s="10" t="s">
        <v>122</v>
      </c>
      <c r="B29" s="12">
        <f>SUM(B24:B28)</f>
        <v>3</v>
      </c>
      <c r="C29" s="12">
        <f>SUM(C24:C28)</f>
        <v>15</v>
      </c>
      <c r="D29" s="12">
        <f>SUM(D24:D28)</f>
        <v>2</v>
      </c>
      <c r="E29" s="12">
        <f>SUM(E24:E28)</f>
        <v>8</v>
      </c>
      <c r="F29" s="12">
        <f>SUM(F24:F28)</f>
        <v>2</v>
      </c>
      <c r="G29" s="12">
        <f t="shared" si="1"/>
        <v>30</v>
      </c>
    </row>
    <row r="31" spans="1:7" ht="15" customHeight="1" x14ac:dyDescent="0.25">
      <c r="A31" s="5" t="s">
        <v>123</v>
      </c>
      <c r="B31" s="5" t="s">
        <v>124</v>
      </c>
      <c r="C31" s="5" t="s">
        <v>125</v>
      </c>
      <c r="D31" s="5" t="s">
        <v>126</v>
      </c>
      <c r="E31" s="5" t="s">
        <v>127</v>
      </c>
    </row>
    <row r="32" spans="1:7" ht="15" customHeight="1" x14ac:dyDescent="0.25">
      <c r="A32" s="10" t="s">
        <v>37</v>
      </c>
      <c r="B32" s="14">
        <f>IFERROR(B24/B29,0)</f>
        <v>0</v>
      </c>
      <c r="C32" s="14">
        <f>IFERROR(B24/G24,0)</f>
        <v>0</v>
      </c>
      <c r="D32" s="14">
        <f>IFERROR(2*B32*C32/(B32+C32),0)</f>
        <v>0</v>
      </c>
      <c r="E32" s="11">
        <f>IF(OR(G24&gt;0,B29&gt;0),1,0)</f>
        <v>1</v>
      </c>
    </row>
    <row r="33" spans="1:5" ht="15" customHeight="1" x14ac:dyDescent="0.25">
      <c r="A33" s="10" t="s">
        <v>51</v>
      </c>
      <c r="B33" s="14">
        <f>IFERROR(C25/C29,0)</f>
        <v>0.6</v>
      </c>
      <c r="C33" s="14">
        <f>IFERROR(C25/G25,0)</f>
        <v>0.69230769230769229</v>
      </c>
      <c r="D33" s="14">
        <f>IFERROR(2*B33*C33/(B33+C33),0)</f>
        <v>0.6428571428571429</v>
      </c>
      <c r="E33" s="11">
        <f>IF(OR(G25&gt;0,C29&gt;0),1,0)</f>
        <v>1</v>
      </c>
    </row>
    <row r="34" spans="1:5" ht="15" customHeight="1" x14ac:dyDescent="0.25">
      <c r="A34" s="10" t="s">
        <v>70</v>
      </c>
      <c r="B34" s="14">
        <f>IFERROR(D26/D29,0)</f>
        <v>0</v>
      </c>
      <c r="C34" s="14">
        <f>IFERROR(D26/G26,0)</f>
        <v>0</v>
      </c>
      <c r="D34" s="14">
        <f>IFERROR(2*B34*C34/(B34+C34),0)</f>
        <v>0</v>
      </c>
      <c r="E34" s="11">
        <f>IF(OR(G26&gt;0,D29&gt;0),1,0)</f>
        <v>1</v>
      </c>
    </row>
    <row r="35" spans="1:5" ht="15" customHeight="1" x14ac:dyDescent="0.25">
      <c r="A35" s="10" t="s">
        <v>35</v>
      </c>
      <c r="B35" s="14">
        <f>IFERROR(E27/E29,0)</f>
        <v>0.25</v>
      </c>
      <c r="C35" s="14">
        <f>IFERROR(E27/G27,0)</f>
        <v>0.66666666666666663</v>
      </c>
      <c r="D35" s="14">
        <f>IFERROR(2*B35*C35/(B35+C35),0)</f>
        <v>0.36363636363636365</v>
      </c>
      <c r="E35" s="11">
        <f>IF(OR(G27&gt;0,E29&gt;0),1,0)</f>
        <v>1</v>
      </c>
    </row>
    <row r="36" spans="1:5" ht="15" customHeight="1" x14ac:dyDescent="0.25">
      <c r="A36" s="10" t="s">
        <v>47</v>
      </c>
      <c r="B36" s="14">
        <f>IFERROR(F28/F29,0)</f>
        <v>1</v>
      </c>
      <c r="C36" s="14">
        <f>IFERROR(F28/G28,0)</f>
        <v>0.25</v>
      </c>
      <c r="D36" s="14">
        <f>IFERROR(2*B36*C36/(B36+C36),0)</f>
        <v>0.4</v>
      </c>
      <c r="E36" s="11">
        <f>IF(OR(G28&gt;0,F29&gt;0),1,0)</f>
        <v>1</v>
      </c>
    </row>
    <row r="38" spans="1:5" ht="15" customHeight="1" x14ac:dyDescent="0.25">
      <c r="A38" s="13" t="s">
        <v>128</v>
      </c>
      <c r="B38" s="16">
        <f>(B24+C25+D26+E27+F28)/30</f>
        <v>0.43333333333333335</v>
      </c>
    </row>
    <row r="39" spans="1:5" ht="15" customHeight="1" x14ac:dyDescent="0.25">
      <c r="A39" s="13" t="s">
        <v>129</v>
      </c>
      <c r="B39" s="15">
        <f>SUMPRODUCT(D32:D36,E32:E36)/SUM(E32:E36)</f>
        <v>0.28129870129870127</v>
      </c>
    </row>
    <row r="40" spans="1:5" ht="15" customHeight="1" x14ac:dyDescent="0.25">
      <c r="A40" s="13" t="s">
        <v>130</v>
      </c>
      <c r="B40" s="16">
        <f>SUMIFS('Raw ratings'!$U$2:$U$31,'Raw ratings'!$B$2:$B$31,"LDA")/COUNTIF('Raw ratings'!$B$2:$B$31,"LDA")</f>
        <v>0.46666666666666667</v>
      </c>
    </row>
    <row r="41" spans="1:5" ht="15" customHeight="1" x14ac:dyDescent="0.25">
      <c r="A41" s="13" t="s">
        <v>131</v>
      </c>
      <c r="B41" s="16">
        <f>SUMIFS('Raw ratings'!$U$2:$U$31,'Raw ratings'!$B$2:$B$31,"NMF")/COUNTIF('Raw ratings'!$B$2:$B$31,"NMF")</f>
        <v>0.4</v>
      </c>
    </row>
    <row r="43" spans="1:5" ht="15" customHeight="1" x14ac:dyDescent="0.25">
      <c r="A43" s="13" t="s">
        <v>133</v>
      </c>
      <c r="B43" s="16">
        <f>SUM('Raw ratings'!$V$2:$V$31)/30</f>
        <v>0.53333333333333333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zoomScaleNormal="100" workbookViewId="0">
      <selection activeCell="A19" sqref="A19"/>
    </sheetView>
  </sheetViews>
  <sheetFormatPr defaultColWidth="8.7109375" defaultRowHeight="15" x14ac:dyDescent="0.25"/>
  <cols>
    <col min="1" max="1" width="24" customWidth="1"/>
    <col min="2" max="3" width="14" customWidth="1"/>
    <col min="4" max="4" width="12" customWidth="1"/>
    <col min="5" max="5" width="14" customWidth="1"/>
  </cols>
  <sheetData>
    <row r="1" spans="1:5" ht="15" customHeight="1" x14ac:dyDescent="0.25">
      <c r="A1" s="22" t="s">
        <v>149</v>
      </c>
    </row>
    <row r="3" spans="1:5" ht="15" customHeight="1" x14ac:dyDescent="0.25">
      <c r="A3" s="23" t="s">
        <v>148</v>
      </c>
    </row>
    <row r="4" spans="1:5" ht="23.25" customHeight="1" x14ac:dyDescent="0.25">
      <c r="A4" s="5" t="s">
        <v>134</v>
      </c>
      <c r="B4" s="5" t="s">
        <v>87</v>
      </c>
      <c r="C4" s="5" t="s">
        <v>86</v>
      </c>
      <c r="D4" s="5" t="s">
        <v>135</v>
      </c>
    </row>
    <row r="5" spans="1:5" ht="15" customHeight="1" x14ac:dyDescent="0.25">
      <c r="A5" s="10" t="s">
        <v>99</v>
      </c>
      <c r="B5" s="24">
        <f>'A_Reliability(kappa)'!B11</f>
        <v>0.5</v>
      </c>
      <c r="C5" s="14">
        <f>'A_Reliability(kappa)'!B10</f>
        <v>0.20071047957371221</v>
      </c>
      <c r="D5" s="11" t="str">
        <f>IF(C5&lt;=0.2,"Slight",IF(C5&lt;=0.4,"Fair",IF(C5&lt;=0.6,"Moderate",IF(C5&lt;=0.8,"Substantial","Almost perfect"))))</f>
        <v>Fair</v>
      </c>
    </row>
    <row r="6" spans="1:5" ht="15" customHeight="1" x14ac:dyDescent="0.25">
      <c r="A6" s="10" t="s">
        <v>136</v>
      </c>
      <c r="B6" s="24">
        <f>'A_Reliability(kappa)'!B25</f>
        <v>0.53333333333333333</v>
      </c>
      <c r="C6" s="14">
        <f>'A_Reliability(kappa)'!B24</f>
        <v>0.29054054054054057</v>
      </c>
      <c r="D6" s="11" t="str">
        <f>IF(C6&lt;=0.2,"Slight",IF(C6&lt;=0.4,"Fair",IF(C6&lt;=0.6,"Moderate",IF(C6&lt;=0.8,"Substantial","Almost perfect"))))</f>
        <v>Fair</v>
      </c>
    </row>
    <row r="7" spans="1:5" ht="15" customHeight="1" x14ac:dyDescent="0.25">
      <c r="A7" s="10" t="s">
        <v>100</v>
      </c>
      <c r="B7" s="24">
        <f>'A_Reliability(kappa)'!B37</f>
        <v>0.6</v>
      </c>
      <c r="C7" s="14">
        <f>'A_Reliability(kappa)'!B36</f>
        <v>0.40594059405940591</v>
      </c>
      <c r="D7" s="11" t="str">
        <f>IF(C7&lt;=0.2,"Slight",IF(C7&lt;=0.4,"Fair",IF(C7&lt;=0.6,"Moderate",IF(C7&lt;=0.8,"Substantial","Almost perfect"))))</f>
        <v>Moderate</v>
      </c>
    </row>
    <row r="8" spans="1:5" ht="15" customHeight="1" x14ac:dyDescent="0.25">
      <c r="A8" s="10" t="s">
        <v>101</v>
      </c>
      <c r="B8" s="24">
        <f>'A_Reliability(kappa)'!B49</f>
        <v>0.5</v>
      </c>
      <c r="C8" s="14">
        <f>'A_Reliability(kappa)'!B48</f>
        <v>0.21875000000000003</v>
      </c>
      <c r="D8" s="11" t="str">
        <f>IF(C8&lt;=0.2,"Slight",IF(C8&lt;=0.4,"Fair",IF(C8&lt;=0.6,"Moderate",IF(C8&lt;=0.8,"Substantial","Almost perfect"))))</f>
        <v>Fair</v>
      </c>
    </row>
    <row r="11" spans="1:5" ht="15" customHeight="1" x14ac:dyDescent="0.25">
      <c r="A11" s="23" t="s">
        <v>150</v>
      </c>
    </row>
    <row r="12" spans="1:5" ht="15" customHeight="1" x14ac:dyDescent="0.25">
      <c r="A12" s="5" t="s">
        <v>134</v>
      </c>
      <c r="B12" s="5" t="s">
        <v>116</v>
      </c>
      <c r="C12" s="5" t="s">
        <v>117</v>
      </c>
      <c r="D12" s="5" t="s">
        <v>137</v>
      </c>
      <c r="E12" s="5" t="s">
        <v>138</v>
      </c>
    </row>
    <row r="13" spans="1:5" ht="15" customHeight="1" x14ac:dyDescent="0.25">
      <c r="A13" s="10" t="s">
        <v>99</v>
      </c>
      <c r="B13" s="19">
        <f>'B_NMF_vs_LDA(MW)'!L15</f>
        <v>1.9</v>
      </c>
      <c r="C13" s="19">
        <f>'B_NMF_vs_LDA(MW)'!L16</f>
        <v>2.5</v>
      </c>
      <c r="D13" s="25">
        <f>'B_NMF_vs_LDA(MW)'!L6</f>
        <v>664.5</v>
      </c>
      <c r="E13" s="26">
        <f>'B_NMF_vs_LDA(MW)'!L14</f>
        <v>2.5549283421533175E-4</v>
      </c>
    </row>
    <row r="14" spans="1:5" ht="15" customHeight="1" x14ac:dyDescent="0.25">
      <c r="A14" s="10" t="s">
        <v>100</v>
      </c>
      <c r="B14" s="19">
        <f>'B_NMF_vs_LDA(MW)'!M15</f>
        <v>1.4</v>
      </c>
      <c r="C14" s="19">
        <f>'B_NMF_vs_LDA(MW)'!M16</f>
        <v>2.2000000000000002</v>
      </c>
      <c r="D14" s="25">
        <f>'B_NMF_vs_LDA(MW)'!M6</f>
        <v>690</v>
      </c>
      <c r="E14" s="26">
        <f>'B_NMF_vs_LDA(MW)'!M14</f>
        <v>7.2901857925411484E-5</v>
      </c>
    </row>
    <row r="15" spans="1:5" ht="15" customHeight="1" x14ac:dyDescent="0.25">
      <c r="A15" s="10" t="s">
        <v>101</v>
      </c>
      <c r="B15" s="19">
        <f>'B_NMF_vs_LDA(MW)'!N15</f>
        <v>2.2000000000000002</v>
      </c>
      <c r="C15" s="19">
        <f>'B_NMF_vs_LDA(MW)'!N16</f>
        <v>2.7666666666666666</v>
      </c>
      <c r="D15" s="25">
        <f>'B_NMF_vs_LDA(MW)'!N6</f>
        <v>659</v>
      </c>
      <c r="E15" s="26">
        <f>'B_NMF_vs_LDA(MW)'!N14</f>
        <v>2.3565857193319495E-4</v>
      </c>
    </row>
    <row r="18" spans="1:5" ht="15" customHeight="1" x14ac:dyDescent="0.25">
      <c r="A18" s="23" t="s">
        <v>151</v>
      </c>
    </row>
    <row r="19" spans="1:5" ht="15" customHeight="1" x14ac:dyDescent="0.25">
      <c r="A19" s="5" t="s">
        <v>91</v>
      </c>
      <c r="B19" s="5" t="s">
        <v>139</v>
      </c>
      <c r="C19" s="5" t="s">
        <v>140</v>
      </c>
      <c r="D19" s="5" t="s">
        <v>141</v>
      </c>
      <c r="E19" s="5" t="s">
        <v>142</v>
      </c>
    </row>
    <row r="20" spans="1:5" ht="15" customHeight="1" x14ac:dyDescent="0.25">
      <c r="A20" s="10" t="s">
        <v>143</v>
      </c>
      <c r="B20" s="24">
        <f>C_Domain_concordance!B17</f>
        <v>0.53333333333333333</v>
      </c>
      <c r="C20" s="24">
        <f>C_Domain_concordance!B19</f>
        <v>0.6</v>
      </c>
      <c r="D20" s="24">
        <f>C_Domain_concordance!B20</f>
        <v>0.46666666666666667</v>
      </c>
      <c r="E20" s="14">
        <f>C_Domain_concordance!B18</f>
        <v>0.3107638888888889</v>
      </c>
    </row>
    <row r="21" spans="1:5" ht="15" customHeight="1" x14ac:dyDescent="0.25">
      <c r="A21" s="10" t="s">
        <v>144</v>
      </c>
      <c r="B21" s="24">
        <f>C_Domain_concordance!B38</f>
        <v>0.43333333333333335</v>
      </c>
      <c r="C21" s="24">
        <f>C_Domain_concordance!B40</f>
        <v>0.46666666666666667</v>
      </c>
      <c r="D21" s="24">
        <f>C_Domain_concordance!B41</f>
        <v>0.4</v>
      </c>
      <c r="E21" s="14">
        <f>C_Domain_concordance!B39</f>
        <v>0.28129870129870127</v>
      </c>
    </row>
    <row r="22" spans="1:5" ht="15" customHeight="1" x14ac:dyDescent="0.25">
      <c r="A22" s="23" t="s">
        <v>133</v>
      </c>
      <c r="B22" s="24">
        <f>C_Domain_concordance!B43</f>
        <v>0.53333333333333333</v>
      </c>
    </row>
    <row r="24" spans="1:5" ht="15" customHeight="1" x14ac:dyDescent="0.25">
      <c r="A24" s="27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 ratings</vt:lpstr>
      <vt:lpstr>A_Reliability(kappa)</vt:lpstr>
      <vt:lpstr>B_NMF_vs_LDA(MW)</vt:lpstr>
      <vt:lpstr>C_Domain_concordance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Matthew  C. Borbon</cp:lastModifiedBy>
  <cp:revision>0</cp:revision>
  <dcterms:created xsi:type="dcterms:W3CDTF">2026-08-19T09:49:18Z</dcterms:created>
  <dcterms:modified xsi:type="dcterms:W3CDTF">2026-08-19T11:23:59Z</dcterms:modified>
  <dc:language>en-US</dc:language>
</cp:coreProperties>
</file>